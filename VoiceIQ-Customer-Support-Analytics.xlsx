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hidePivotFieldList="1"/>
  <mc:AlternateContent xmlns:mc="http://schemas.openxmlformats.org/markup-compatibility/2006">
    <mc:Choice Requires="x15">
      <x15ac:absPath xmlns:x15ac="http://schemas.microsoft.com/office/spreadsheetml/2010/11/ac" url="C:\Users\nikhi\OneDrive\Documents\Himani\Excel\"/>
    </mc:Choice>
  </mc:AlternateContent>
  <xr:revisionPtr revIDLastSave="0" documentId="13_ncr:1_{9B6AA0D5-1F27-47DF-A9C0-83A2D7E6D392}" xr6:coauthVersionLast="47" xr6:coauthVersionMax="47" xr10:uidLastSave="{00000000-0000-0000-0000-000000000000}"/>
  <bookViews>
    <workbookView xWindow="-110" yWindow="-110" windowWidth="22620" windowHeight="13500" xr2:uid="{26D4546B-D2A1-4444-8EAF-A6228F96F0C1}"/>
  </bookViews>
  <sheets>
    <sheet name="Customer Center Report" sheetId="5" r:id="rId1"/>
    <sheet name="Sheet3" sheetId="7"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240" r:id="rId5"/>
    <pivotCache cacheId="760" r:id="rId6"/>
    <pivotCache cacheId="1000" r:id="rId7"/>
    <pivotCache cacheId="1291" r:id="rId8"/>
    <pivotCache cacheId="1294" r:id="rId9"/>
    <pivotCache cacheId="1297" r:id="rId10"/>
    <pivotCache cacheId="1300" r:id="rId11"/>
    <pivotCache cacheId="1303" r:id="rId12"/>
    <pivotCache cacheId="1306" r:id="rId13"/>
  </pivotCaches>
  <extLst>
    <ext xmlns:x14="http://schemas.microsoft.com/office/spreadsheetml/2009/9/main" uri="{876F7934-8845-4945-9796-88D515C7AA90}">
      <x14:pivotCaches>
        <pivotCache cacheId="25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 l="1" a="1"/>
  <c r="N18" i="5" s="1"/>
  <c r="L25" i="7"/>
  <c r="L30"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50" i="7"/>
  <c r="L51" i="7"/>
  <c r="L52" i="7"/>
  <c r="L53" i="7"/>
  <c r="L54" i="7"/>
  <c r="L49" i="7"/>
  <c r="L33" i="7" l="1"/>
  <c r="L32" i="7"/>
  <c r="K29" i="7"/>
  <c r="K33" i="7"/>
  <c r="K32" i="7"/>
  <c r="L31" i="7"/>
  <c r="K31" i="7"/>
  <c r="K30" i="7"/>
  <c r="L2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53B58D-D1EA-41C4-A804-960F197BBC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07C9B10-4148-4E4E-BD79-A589E7B3368D}"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324D06E2-85E4-4E0C-B2E6-4551905B06E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<sst xmlns="http://schemas.openxmlformats.org/spreadsheetml/2006/main" count="3165" uniqueCount="1073">
  <si>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</si>
  <si>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</si>
  <si>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</si>
  <si>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</si>
  <si>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</si>
  <si>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</si>
  <si>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</si>
  <si>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</si>
  <si>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</si>
  <si>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</si>
  <si>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</si>
  <si>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</si>
  <si>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</si>
  <si>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</si>
  <si>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</si>
  <si>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</si>
  <si>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</si>
  <si>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</si>
  <si>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</si>
  <si>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</si>
  <si>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</si>
  <si>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</si>
  <si>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</si>
  <si>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</si>
  <si>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</si>
  <si>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</si>
  <si>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</si>
  <si>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</si>
  <si>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</si>
  <si>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</si>
  <si>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</si>
  <si>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</si>
  <si>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</si>
  <si>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</si>
  <si>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</si>
  <si>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</si>
  <si>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</si>
  <si>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</si>
  <si>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</si>
  <si>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</si>
  <si>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</si>
  <si>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</si>
  <si>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</si>
  <si>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</si>
  <si>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</si>
  <si>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</si>
  <si>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</si>
  <si>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</si>
  <si>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</si>
  <si>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</si>
  <si>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</si>
  <si>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</si>
  <si>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</si>
  <si>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</si>
  <si>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</si>
  <si>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</si>
  <si>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</si>
  <si>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</si>
  <si>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</si>
  <si>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</si>
  <si>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</si>
  <si>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</si>
  <si>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</si>
  <si>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</si>
  <si>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</si>
  <si>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</si>
  <si>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</si>
  <si>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</si>
  <si>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</si>
  <si>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</si>
  <si>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</si>
  <si>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</si>
  <si>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</si>
  <si>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</si>
  <si>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</si>
  <si>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</si>
  <si>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</si>
  <si>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</si>
  <si>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</si>
  <si>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</si>
  <si>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</si>
  <si>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</si>
  <si>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</si>
  <si>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</si>
  <si>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</si>
  <si>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</si>
  <si>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</si>
  <si>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</si>
  <si>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</si>
  <si>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</si>
  <si>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</si>
  <si>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</si>
  <si>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</si>
  <si>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</si>
  <si>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</si>
  <si>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</si>
  <si>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</si>
  <si>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</si>
  <si>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</si>
  <si>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</si>
  <si>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</si>
  <si>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</si>
  <si>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</si>
  <si>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</si>
  <si>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</si>
  <si>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</si>
  <si>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</si>
  <si>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</si>
  <si>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</si>
  <si>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</si>
  <si>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</si>
  <si>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</si>
  <si>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</si>
  <si>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</si>
  <si>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</si>
  <si>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</si>
  <si>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</si>
  <si>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</si>
  <si>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</si>
  <si>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</si>
  <si>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</si>
  <si>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</si>
  <si>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</si>
  <si>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</si>
  <si>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</si>
  <si>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</si>
  <si>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</si>
  <si>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</si>
  <si>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</si>
  <si>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</si>
  <si>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</si>
  <si>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</si>
  <si>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</si>
  <si>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</si>
  <si>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</si>
  <si>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</si>
  <si>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</si>
  <si>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</si>
  <si>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</si>
  <si>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</si>
  <si>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</si>
  <si>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</si>
  <si>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</si>
  <si>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</si>
  <si>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</si>
  <si>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</si>
  <si>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</si>
  <si>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</si>
  <si>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</si>
  <si>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</si>
  <si>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</si>
  <si>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</si>
  <si>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</si>
  <si>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</si>
  <si>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</si>
  <si>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</si>
  <si>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</si>
  <si>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</si>
  <si>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</si>
  <si>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</si>
  <si>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</si>
  <si>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</si>
  <si>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</si>
  <si>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</si>
  <si>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</si>
  <si>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</si>
  <si>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</si>
  <si>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</si>
  <si>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</si>
  <si>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</si>
  <si>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</si>
  <si>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</si>
  <si>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</si>
  <si>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</si>
  <si>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</si>
  <si>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</si>
  <si>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</si>
  <si>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</si>
  <si>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</si>
  <si>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</si>
  <si>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</si>
  <si>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</si>
  <si>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</si>
  <si>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</si>
  <si>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</si>
  <si>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</si>
  <si>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</si>
  <si>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</si>
  <si>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</si>
  <si>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</si>
  <si>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</si>
  <si>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</si>
  <si>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</si>
  <si>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</si>
  <si>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</si>
  <si>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</si>
  <si>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</si>
  <si>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</si>
  <si>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</si>
  <si>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</si>
  <si>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</si>
  <si>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</si>
  <si>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</si>
  <si>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</si>
  <si>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</si>
  <si>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</si>
  <si>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</si>
  <si>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</si>
  <si>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</si>
  <si>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</si>
  <si>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</si>
  <si>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</si>
  <si>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</si>
  <si>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</si>
  <si>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</si>
  <si>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</si>
  <si>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</si>
  <si>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</si>
  <si>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</si>
  <si>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</si>
  <si>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</si>
  <si>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</si>
  <si>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</si>
  <si>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</si>
  <si>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</si>
  <si>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</si>
  <si>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</si>
  <si>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</si>
  <si>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</si>
  <si>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</si>
  <si>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</si>
  <si>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</si>
  <si>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</si>
  <si>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</si>
  <si>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</si>
  <si>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</si>
  <si>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</si>
  <si>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</si>
  <si>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</si>
  <si>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</si>
  <si>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</si>
  <si>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</si>
  <si>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</si>
  <si>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</si>
  <si>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</si>
  <si>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</si>
  <si>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</si>
  <si>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</si>
  <si>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</si>
  <si>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</si>
  <si>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</si>
  <si>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</si>
  <si>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</si>
  <si>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</si>
  <si>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</si>
  <si>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</si>
  <si>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</si>
  <si>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</si>
  <si>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</si>
  <si>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</si>
  <si>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</si>
  <si>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</si>
  <si>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</si>
  <si>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</si>
  <si>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</si>
  <si>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</si>
  <si>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</si>
  <si>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</si>
  <si>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</si>
  <si>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</si>
  <si>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</si>
  <si>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</si>
  <si>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</si>
  <si>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</si>
  <si>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</si>
  <si>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</si>
  <si>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</si>
  <si>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</si>
  <si>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</si>
  <si>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</si>
  <si>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</si>
  <si>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</si>
  <si>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</si>
  <si>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</si>
  <si>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</si>
  <si>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</si>
  <si>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</si>
  <si>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</si>
  <si>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</si>
  <si>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</si>
  <si>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</si>
  <si>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</si>
  <si>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</si>
  <si>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</si>
  <si>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</si>
  <si>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</si>
  <si>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</si>
  <si>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</si>
  <si>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</si>
  <si>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</si>
  <si>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</si>
  <si>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</si>
  <si>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</si>
  <si>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</si>
  <si>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</si>
  <si>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</si>
  <si>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</si>
  <si>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</si>
  <si>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</si>
  <si>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</si>
  <si>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</si>
  <si>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</si>
  <si>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</si>
  <si>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</si>
  <si>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</si>
  <si>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</si>
  <si>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</si>
  <si>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</si>
  <si>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</si>
  <si>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</si>
  <si>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</si>
  <si>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</si>
  <si>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</si>
  <si>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</si>
  <si>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</si>
  <si>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</si>
  <si>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</si>
  <si>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</si>
  <si>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</si>
  <si>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</si>
  <si>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</si>
  <si>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</si>
  <si>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</si>
  <si>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</si>
  <si>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</si>
  <si>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</si>
  <si>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</si>
  <si>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</si>
  <si>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</si>
  <si>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</si>
  <si>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</si>
  <si>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</si>
  <si>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</si>
  <si>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</si>
  <si>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</si>
  <si>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</si>
  <si>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</si>
  <si>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</si>
  <si>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</si>
  <si>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</si>
  <si>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</si>
  <si>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</si>
  <si>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</si>
  <si>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</si>
  <si>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</si>
  <si>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</si>
  <si>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</si>
  <si>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</si>
  <si>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</si>
  <si>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</si>
  <si>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</si>
  <si>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</si>
  <si>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</si>
  <si>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</si>
  <si>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</si>
  <si>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</si>
  <si>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</si>
  <si>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</si>
  <si>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</si>
  <si>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</si>
  <si>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</si>
  <si>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</si>
  <si>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</si>
  <si>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</si>
  <si>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</si>
  <si>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</si>
  <si>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</si>
  <si>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</si>
  <si>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</si>
  <si>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</si>
  <si>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</si>
  <si>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</si>
  <si>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</si>
  <si>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</si>
  <si>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</si>
  <si>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</si>
  <si>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</si>
  <si>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</si>
  <si>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</si>
  <si>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</si>
  <si>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</si>
  <si>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</si>
  <si>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</si>
  <si>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</si>
  <si>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</si>
  <si>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</si>
  <si>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</si>
  <si>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</si>
  <si>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</si>
  <si>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</si>
  <si>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</si>
  <si>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</si>
  <si>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</si>
  <si>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</si>
  <si>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</si>
  <si>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</si>
  <si>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</si>
  <si>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</si>
  <si>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</si>
  <si>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</si>
  <si>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</si>
  <si>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</si>
  <si>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</si>
  <si>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</si>
  <si>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</si>
  <si>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</si>
  <si>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</si>
  <si>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</si>
  <si>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</si>
  <si>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</si>
  <si>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</si>
  <si>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</si>
  <si>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</si>
  <si>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</si>
  <si>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</si>
  <si>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</si>
  <si>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</si>
  <si>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</si>
  <si>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</si>
  <si>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</si>
  <si>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</si>
  <si>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</si>
  <si>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</si>
  <si>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</si>
  <si>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</si>
  <si>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</si>
  <si>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</si>
  <si>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</si>
  <si>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</si>
  <si>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</si>
  <si>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</si>
  <si>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</si>
  <si>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</si>
  <si>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</si>
  <si>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</si>
  <si>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</si>
  <si>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</si>
  <si>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</si>
  <si>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</si>
  <si>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</si>
  <si>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</si>
  <si>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</si>
  <si>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</si>
  <si>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</si>
  <si>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</si>
  <si>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</si>
  <si>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</si>
  <si>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</si>
  <si>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</si>
  <si>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</si>
  <si>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</si>
  <si>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</si>
  <si>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</si>
  <si>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</si>
  <si>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</si>
  <si>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</si>
  <si>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</si>
  <si>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</si>
  <si>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</si>
  <si>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</si>
  <si>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</si>
  <si>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</si>
  <si>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</si>
  <si>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</si>
  <si>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</si>
  <si>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</si>
  <si>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</si>
  <si>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</si>
  <si>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</si>
  <si>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</si>
  <si>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</si>
  <si>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</si>
  <si>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</si>
  <si>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</si>
  <si>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</si>
  <si>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</si>
  <si>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</si>
  <si>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</si>
  <si>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</si>
  <si>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</si>
  <si>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</si>
  <si>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</si>
  <si>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</si>
  <si>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</si>
  <si>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</si>
  <si>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</si>
  <si>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</si>
  <si>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</si>
  <si>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</si>
  <si>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</si>
  <si>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</si>
  <si>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</si>
  <si>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</si>
  <si>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</si>
  <si>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</si>
  <si>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</si>
  <si>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</si>
  <si>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</si>
  <si>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</si>
  <si>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</si>
  <si>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</si>
  <si>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</si>
  <si>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</si>
  <si>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</si>
  <si>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</si>
  <si>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</si>
  <si>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</si>
  <si>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</si>
  <si>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</si>
  <si>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</si>
  <si>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</si>
  <si>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</si>
  <si>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</si>
  <si>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</si>
  <si>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</si>
  <si>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</si>
  <si>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</si>
  <si>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</si>
  <si>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</si>
  <si>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</si>
  <si>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</si>
  <si>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</si>
  <si>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</si>
  <si>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</si>
  <si>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</si>
  <si>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</si>
  <si>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</si>
  <si>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</si>
  <si>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</si>
  <si>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</si>
  <si>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</si>
  <si>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</si>
  <si>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</si>
  <si>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</si>
  <si>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</si>
  <si>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</si>
  <si>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</si>
  <si>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</si>
  <si>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</si>
  <si>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</si>
  <si>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</si>
  <si>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</si>
  <si>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</si>
  <si>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</si>
  <si>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</si>
  <si>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</si>
  <si>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</si>
  <si>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</si>
  <si>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</si>
  <si>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</si>
  <si>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</si>
  <si>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</si>
  <si>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</si>
  <si>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</si>
  <si>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</si>
  <si>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</si>
  <si>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</si>
  <si>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</si>
  <si>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</si>
  <si>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</si>
  <si>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</si>
  <si>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</si>
  <si>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</si>
  <si>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</si>
  <si>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</si>
  <si>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</si>
  <si>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</si>
  <si>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</si>
  <si>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</si>
  <si>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</si>
  <si>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</si>
  <si>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</si>
  <si>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</si>
  <si>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</si>
  <si>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</si>
  <si>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</si>
  <si>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</si>
  <si>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</si>
  <si>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</si>
  <si>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</si>
  <si>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</si>
  <si>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</si>
  <si>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</si>
  <si>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</si>
  <si>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</si>
  <si>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</si>
  <si>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</si>
  <si>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</si>
  <si>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</si>
  <si>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</si>
  <si>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</si>
  <si>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</si>
  <si>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</si>
  <si>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</si>
  <si>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</si>
  <si>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</si>
  <si>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</si>
  <si>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</si>
  <si>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</si>
  <si>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</si>
  <si>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</si>
  <si>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</si>
  <si>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</si>
  <si>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</si>
  <si>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</si>
  <si>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</si>
  <si>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</si>
  <si>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</si>
  <si>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</si>
  <si>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</si>
  <si>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</si>
  <si>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</si>
  <si>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</si>
  <si>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</si>
  <si>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</si>
  <si>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</si>
  <si>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</si>
  <si>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</si>
  <si>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</si>
  <si>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</si>
  <si>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</si>
  <si>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</si>
  <si>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</si>
  <si>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</si>
  <si>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</si>
  <si>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</si>
  <si>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</si>
  <si>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</si>
  <si>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</si>
  <si>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</si>
  <si>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</si>
  <si>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</si>
  <si>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</si>
  <si>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</si>
  <si>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</si>
  <si>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</si>
  <si>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</si>
  <si>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</si>
  <si>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</si>
  <si>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</si>
  <si>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</si>
  <si>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</si>
  <si>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</si>
  <si>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</si>
  <si>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</si>
  <si>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</si>
  <si>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</si>
  <si>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</si>
  <si>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</si>
  <si>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</si>
  <si>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</si>
  <si>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</si>
  <si>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</si>
  <si>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</si>
  <si>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</si>
  <si>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</si>
  <si>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</si>
  <si>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</si>
  <si>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</si>
  <si>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</si>
  <si>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</si>
  <si>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</si>
  <si>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</si>
  <si>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</si>
  <si>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</si>
  <si>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</si>
  <si>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</si>
  <si>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</si>
  <si>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</si>
  <si>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</si>
  <si>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</si>
  <si>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</si>
  <si>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</si>
  <si>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</si>
  <si>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</si>
  <si>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</si>
  <si>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</si>
  <si>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</si>
  <si>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</si>
  <si>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</si>
  <si>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</si>
  <si>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</si>
  <si>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</si>
  <si>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</si>
  <si>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</si>
  <si>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</si>
  <si>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</si>
  <si>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</si>
  <si>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</si>
  <si>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</si>
  <si>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</si>
  <si>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</si>
  <si>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</si>
  <si>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</si>
  <si>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</si>
  <si>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</si>
  <si>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</si>
  <si>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</si>
  <si>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</si>
  <si>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</si>
  <si>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</si>
  <si>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</si>
  <si>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</si>
  <si>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</si>
  <si>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</si>
  <si>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</si>
  <si>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</si>
  <si>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</si>
  <si>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</si>
  <si>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</si>
  <si>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</si>
  <si>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</si>
  <si>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</si>
  <si>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</si>
  <si>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</si>
  <si>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</si>
  <si>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</si>
  <si>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</si>
  <si>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</si>
  <si>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</si>
  <si>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</si>
  <si>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</si>
  <si>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</si>
  <si>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</si>
  <si>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</si>
  <si>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</si>
  <si>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</si>
  <si>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</si>
  <si>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</si>
  <si>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</si>
  <si>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</si>
  <si>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</si>
  <si>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</si>
  <si>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</si>
  <si>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</si>
  <si>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</si>
  <si>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</si>
  <si>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</si>
  <si>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</si>
  <si>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</si>
  <si>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</si>
  <si>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</si>
  <si>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</si>
  <si>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</si>
  <si>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</si>
  <si>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</si>
  <si>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</si>
  <si>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</si>
  <si>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</si>
  <si>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</si>
  <si>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</si>
  <si>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</si>
  <si>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</si>
  <si>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</si>
  <si>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</si>
  <si>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</si>
  <si>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</si>
  <si>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</si>
  <si>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</si>
  <si>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</si>
  <si>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</si>
  <si>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</si>
  <si>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</si>
  <si>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</si>
  <si>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</si>
  <si>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</si>
  <si>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</si>
  <si>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</si>
  <si>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</si>
  <si>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</si>
  <si>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</si>
  <si>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</si>
  <si>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</si>
  <si>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</si>
  <si>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</si>
  <si>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</si>
  <si>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</si>
  <si>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</si>
  <si>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</si>
  <si>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</si>
  <si>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</si>
  <si>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</si>
  <si>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</si>
  <si>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</si>
  <si>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</si>
  <si>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</si>
  <si>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</si>
  <si>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</si>
  <si>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</si>
  <si>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</si>
  <si>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</si>
  <si>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</si>
  <si>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</si>
  <si>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</si>
  <si>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</si>
  <si>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</si>
  <si>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</si>
  <si>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</si>
  <si>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</si>
  <si>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</si>
  <si>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</si>
  <si>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</si>
  <si>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</si>
  <si>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</si>
  <si>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</si>
  <si>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</si>
  <si>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</si>
  <si>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</si>
  <si>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</si>
  <si>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</si>
  <si>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</si>
  <si>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</si>
  <si>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</si>
  <si>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</si>
  <si>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</si>
  <si>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</si>
  <si>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</si>
  <si>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</si>
  <si>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</si>
  <si>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</si>
  <si>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</si>
  <si>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</si>
  <si>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</si>
  <si>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</si>
  <si>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</si>
  <si>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</si>
  <si>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</si>
  <si>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</si>
  <si>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</si>
  <si>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</si>
  <si>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</si>
  <si>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</si>
  <si>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</si>
  <si>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</si>
  <si>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</si>
  <si>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</si>
  <si>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</si>
  <si>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</si>
  <si>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</si>
  <si>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</si>
  <si>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</si>
  <si>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</si>
  <si>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</si>
  <si>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</si>
  <si>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</si>
  <si>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</si>
  <si>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</si>
  <si>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</si>
  <si>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</si>
  <si>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</si>
  <si>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</si>
  <si>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</si>
  <si>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</si>
  <si>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</si>
  <si>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</si>
  <si>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</si>
  <si>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</si>
  <si>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</si>
  <si>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</si>
  <si>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</si>
  <si>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</si>
  <si>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</si>
  <si>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</si>
  <si>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</si>
  <si>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</si>
  <si>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</si>
  <si>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</si>
  <si>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</si>
  <si>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</si>
  <si>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</si>
  <si>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</si>
  <si>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</si>
  <si>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</si>
  <si>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</si>
  <si>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</si>
  <si>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</si>
  <si>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</si>
  <si>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</si>
  <si>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</si>
  <si>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</si>
  <si>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</si>
  <si>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</si>
  <si>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</si>
  <si>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</si>
  <si>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</si>
  <si>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</si>
  <si>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</si>
  <si>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</si>
  <si>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</si>
  <si>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</si>
  <si>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</si>
  <si>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</si>
  <si>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</si>
  <si>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</si>
  <si>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</si>
  <si>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</si>
  <si>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</si>
  <si>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</si>
  <si>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</si>
  <si>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</si>
  <si>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</si>
  <si>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</si>
  <si>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</si>
  <si>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</si>
  <si>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</si>
  <si>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</si>
  <si>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</si>
  <si>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</si>
  <si>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</si>
  <si>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</si>
  <si>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</si>
  <si>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</si>
  <si>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</si>
  <si>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</si>
  <si>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</si>
  <si>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</si>
  <si>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</si>
  <si>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</si>
  <si>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</si>
  <si>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</si>
  <si>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</si>
  <si>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</si>
  <si>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</si>
  <si>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</si>
  <si>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</si>
  <si>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</si>
  <si>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</si>
  <si>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</si>
  <si>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</si>
  <si>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</si>
  <si>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</si>
  <si>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</si>
  <si>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</si>
  <si>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</si>
  <si>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</si>
  <si>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</si>
  <si>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</si>
  <si>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</si>
  <si>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</si>
  <si>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</si>
  <si>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</si>
  <si>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</si>
  <si>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</si>
  <si>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</si>
  <si>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</si>
  <si>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</si>
  <si>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</si>
  <si>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</si>
  <si>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</si>
  <si>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</si>
  <si>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</si>
  <si>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</si>
  <si>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</si>
  <si>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</si>
  <si>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</si>
  <si>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</si>
  <si>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</si>
  <si>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</si>
  <si>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</si>
  <si>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</si>
  <si>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</si>
  <si>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</si>
  <si>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</si>
  <si>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</si>
  <si>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</si>
  <si>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</si>
  <si>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</si>
  <si>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</si>
  <si>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</si>
  <si>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</si>
  <si>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</si>
  <si>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</si>
  <si>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</si>
  <si>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</si>
  <si>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</si>
  <si>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</si>
  <si>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</si>
  <si>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</si>
  <si>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</si>
  <si>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</si>
  <si>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</si>
  <si>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</si>
  <si>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</si>
  <si>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</si>
  <si>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</si>
  <si>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</si>
  <si>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</si>
  <si>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</si>
  <si>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</si>
  <si>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</si>
  <si>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</si>
  <si>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</si>
  <si>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</si>
  <si>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</si>
  <si>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</si>
  <si>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</si>
  <si>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</si>
  <si>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</si>
  <si>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</si>
  <si>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</si>
  <si>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</si>
  <si>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</si>
  <si>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</si>
  <si>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</si>
  <si>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</si>
  <si>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</si>
  <si>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</si>
  <si>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</si>
  <si>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</si>
  <si>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</si>
  <si>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</si>
  <si>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</si>
  <si>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</si>
  <si>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</si>
  <si>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</si>
  <si>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</si>
  <si>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</si>
  <si>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</si>
  <si>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</si>
  <si>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</si>
  <si>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</si>
  <si>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</si>
  <si>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</si>
  <si>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</si>
  <si>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</si>
  <si>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</si>
  <si>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</si>
  <si>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</si>
  <si>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</si>
  <si>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</si>
  <si>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</si>
  <si>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</si>
  <si>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</si>
  <si>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Friday</t>
  </si>
  <si>
    <t>Monday</t>
  </si>
  <si>
    <t>Saturday</t>
  </si>
  <si>
    <t>Sunday</t>
  </si>
  <si>
    <t>Thursday</t>
  </si>
  <si>
    <t>Tuesday</t>
  </si>
  <si>
    <t>Wednesday</t>
  </si>
  <si>
    <t>Grand Total</t>
  </si>
  <si>
    <t>Column Labels</t>
  </si>
  <si>
    <t>Jan</t>
  </si>
  <si>
    <t>Feb</t>
  </si>
  <si>
    <t>Mar</t>
  </si>
  <si>
    <t>Apr</t>
  </si>
  <si>
    <t>May</t>
  </si>
  <si>
    <t>Jun</t>
  </si>
  <si>
    <t>Jul</t>
  </si>
  <si>
    <t>Aug</t>
  </si>
  <si>
    <t>Sep</t>
  </si>
  <si>
    <t>Oct</t>
  </si>
  <si>
    <t>Nov</t>
  </si>
  <si>
    <t>Dec</t>
  </si>
  <si>
    <t>Total calls</t>
  </si>
  <si>
    <t>Total Duration</t>
  </si>
  <si>
    <t>Total Sales</t>
  </si>
  <si>
    <t>Average Rating</t>
  </si>
  <si>
    <t>Total Satisfied Customers</t>
  </si>
  <si>
    <t>Total calls2</t>
  </si>
  <si>
    <t>Sel Call</t>
  </si>
  <si>
    <t>Sel Amount</t>
  </si>
  <si>
    <t>Selected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</si>
</sst>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quot;\k"/>
    <numFmt numFmtId="169" formatCode="&quot;$&quot;#,##0"/>
  </numFmts>
  <fonts count="5" x14ac:knownFonts="1">
    <font>
      <sz val="11"/>
      <color theme="1"/>
      <name val="Franklin Gothic Book"/>
      <family val="2"/>
      <scheme val="minor"/>
    </font>
    <font>
      <b/>
      <sz val="11"/>
      <color theme="1"/>
      <name val="Franklin Gothic Book"/>
      <family val="2"/>
      <scheme val="minor"/>
    </font>
    <font>
      <sz val="8"/>
      <name val="Franklin Gothic Book"/>
      <family val="2"/>
      <scheme val="minor"/>
    </font>
    <font>
      <sz val="18"/>
      <color theme="1"/>
      <name val="Aptos ExtraBold"/>
      <family val="2"/>
    </font>
    <font>
      <sz val="11"/>
      <color theme="1"/>
      <name val="Elephant"/>
      <family val="1"/>
    </font>
  </fonts>
  <fills count="5">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0"/>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3" fontId="0" fillId="0" borderId="0" xfId="0" applyNumberFormat="1"/>
    <xf numFmtId="1" fontId="0" fillId="0" borderId="0" xfId="0" applyNumberFormat="1"/>
    <xf numFmtId="166" fontId="0" fillId="0" borderId="0" xfId="0" applyNumberFormat="1"/>
    <xf numFmtId="0" fontId="4" fillId="3" borderId="0" xfId="0" applyFont="1" applyFill="1"/>
    <xf numFmtId="167" fontId="0" fillId="0" borderId="0" xfId="0" applyNumberFormat="1"/>
    <xf numFmtId="0" fontId="0" fillId="3" borderId="0" xfId="0" applyFill="1" applyAlignment="1">
      <alignment horizontal="center"/>
    </xf>
    <xf numFmtId="169" fontId="0" fillId="3" borderId="0" xfId="0" applyNumberFormat="1" applyFill="1"/>
    <xf numFmtId="0" fontId="1" fillId="4" borderId="10" xfId="0" applyFont="1" applyFill="1" applyBorder="1"/>
    <xf numFmtId="0" fontId="1" fillId="3" borderId="10" xfId="0" applyFont="1" applyFill="1" applyBorder="1"/>
  </cellXfs>
  <cellStyles count="1">
    <cellStyle name="Normal" xfId="0" builtinId="0"/>
  </cellStyles>
  <dxfs count="17">
    <dxf>
      <fill>
        <patternFill>
          <bgColor theme="4" tint="0.59996337778862885"/>
        </patternFill>
      </fill>
    </dxf>
    <dxf>
      <fill>
        <patternFill>
          <bgColor theme="4" tint="0.7999816888943144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ranklin Gothic 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6"/>
    </tableStyle>
  </tableStyles>
  <colors>
    <mruColors>
      <color rgb="FFA5B592"/>
      <color rgb="FFFAFBFA"/>
      <color rgb="FFBECB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[07.sample-data-excel-portfolio-project.xlsx]Sheet3!Month pivot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Calls</a:t>
            </a:r>
            <a:endParaRPr lang="en-US" baseline="0"/>
          </a:p>
        </c:rich>
      </c:tx>
      <c:layout>
        <c:manualLayout>
          <c:xMode val="edge"/>
          <c:yMode val="edge"/>
          <c:x val="0.36540138820586759"/>
          <c:y val="2.77492151879154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50000"/>
              </a:schemeClr>
            </a:solidFill>
            <a:round/>
          </a:ln>
          <a:effectLst/>
        </c:spPr>
        <c:marker>
          <c:symbol val="circle"/>
          <c:size val="7"/>
          <c:spPr>
            <a:solidFill>
              <a:srgbClr val="FAFBFA"/>
            </a:solidFill>
            <a:ln w="222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BECB95"/>
              </a:gs>
              <a:gs pos="100000">
                <a:srgbClr val="A5B592">
                  <a:alpha val="15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Sheet3!$B$11</c:f>
              <c:strCache>
                <c:ptCount val="1"/>
                <c:pt idx="0">
                  <c:v>Total calls</c:v>
                </c:pt>
              </c:strCache>
            </c:strRef>
          </c:tx>
          <c:spPr>
            <a:gradFill>
              <a:gsLst>
                <a:gs pos="0">
                  <a:srgbClr val="BECB95"/>
                </a:gs>
                <a:gs pos="100000">
                  <a:srgbClr val="A5B592">
                    <a:alpha val="15000"/>
                  </a:srgbClr>
                </a:gs>
              </a:gsLst>
              <a:lin ang="5400000" scaled="1"/>
            </a:gradFill>
            <a:ln>
              <a:noFill/>
            </a:ln>
            <a:effectLst/>
          </c:spPr>
          <c:cat>
            <c:strRef>
              <c:f>Sheet3!$A$12:$A$24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Sheet3!$B$12:$B$24</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5074-41E5-882C-6BEE38C4D9DF}"/>
            </c:ext>
          </c:extLst>
        </c:ser>
        <c:dLbls>
          <c:showLegendKey val="0"/>
          <c:showVal val="0"/>
          <c:showCatName val="0"/>
          <c:showSerName val="0"/>
          <c:showPercent val="0"/>
          <c:showBubbleSize val="0"/>
        </c:dLbls>
        <c:axId val="438102255"/>
        <c:axId val="438100815"/>
      </c:areaChart>
      <c:lineChart>
        <c:grouping val="standard"/>
        <c:varyColors val="0"/>
        <c:ser>
          <c:idx val="1"/>
          <c:order val="1"/>
          <c:tx>
            <c:strRef>
              <c:f>Sheet3!$C$11</c:f>
              <c:strCache>
                <c:ptCount val="1"/>
                <c:pt idx="0">
                  <c:v>Total calls2</c:v>
                </c:pt>
              </c:strCache>
            </c:strRef>
          </c:tx>
          <c:spPr>
            <a:ln w="28575" cap="rnd">
              <a:solidFill>
                <a:schemeClr val="accent1">
                  <a:lumMod val="50000"/>
                </a:schemeClr>
              </a:solidFill>
              <a:round/>
            </a:ln>
            <a:effectLst/>
          </c:spPr>
          <c:marker>
            <c:symbol val="circle"/>
            <c:size val="7"/>
            <c:spPr>
              <a:solidFill>
                <a:srgbClr val="FAFBFA"/>
              </a:solidFill>
              <a:ln w="22225">
                <a:solidFill>
                  <a:schemeClr val="accent1">
                    <a:lumMod val="50000"/>
                  </a:schemeClr>
                </a:solidFill>
              </a:ln>
              <a:effectLst/>
            </c:spPr>
          </c:marker>
          <c:cat>
            <c:strRef>
              <c:f>Sheet3!$A$12:$A$24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Sheet3!$C$12:$C$24</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5074-41E5-882C-6BEE38C4D9DF}"/>
            </c:ext>
          </c:extLst>
        </c:ser>
        <c:dLbls>
          <c:showLegendKey val="0"/>
          <c:showVal val="0"/>
          <c:showCatName val="0"/>
          <c:showSerName val="0"/>
          <c:showPercent val="0"/>
          <c:showBubbleSize val="0"/>
        </c:dLbls>
        <c:marker val="1"/>
        <c:smooth val="0"/>
        <c:axId val="438102255"/>
        <c:axId val="438100815"/>
      </c:lineChart>
      <c:catAx>
        <c:axId val="4381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00815"/>
        <c:crosses val="autoZero"/>
        <c:auto val="1"/>
        <c:lblAlgn val="ctr"/>
        <c:lblOffset val="100"/>
        <c:noMultiLvlLbl val="0"/>
      </c:catAx>
      <c:valAx>
        <c:axId val="438100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[07.sample-data-excel-portfolio-project.xlsx]Sheet3!Week pivot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Calls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Sheet3!$B$28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Sheet3!$A$29:$A$36</c:f>
              <c:strCache>
                <c:ptCount val="7"/>
                <c:pt idx="0">
                  <c:v>Sunday</c:v>
                </c:pt>
                <c:pt idx="1">
                  <c:v>Monday</c:v>
                </c:pt>
                <c:pt idx="2">
                  <c:v>Tuesday</c:v>
                </c:pt>
                <c:pt idx="3">
                  <c:v>Wednesday</c:v>
                </c:pt>
                <c:pt idx="4">
                  <c:v>Thursday</c:v>
                </c:pt>
                <c:pt idx="5">
                  <c:v>Friday</c:v>
                </c:pt>
                <c:pt idx="6">
                  <c:v>Saturday</c:v>
                </c:pt>
              </c:strCache>
            </c:strRef>
          </c:cat>
          <c:val>
            <c:numRef>
              <c:f>Sheet3!$B$29:$B$36</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7B49-40C3-A758-5873C8BE1C37}"/>
            </c:ext>
          </c:extLst>
        </c:ser>
        <c:dLbls>
          <c:showLegendKey val="0"/>
          <c:showVal val="0"/>
          <c:showCatName val="0"/>
          <c:showSerName val="0"/>
          <c:showPercent val="0"/>
          <c:showBubbleSize val="0"/>
        </c:dLbls>
        <c:gapWidth val="65"/>
        <c:shape val="box"/>
        <c:axId val="126683151"/>
        <c:axId val="126680271"/>
        <c:axId val="0"/>
      </c:bar3DChart>
      <c:catAx>
        <c:axId val="1266831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0271"/>
        <c:crosses val="autoZero"/>
        <c:auto val="1"/>
        <c:lblAlgn val="ctr"/>
        <c:lblOffset val="100"/>
        <c:noMultiLvlLbl val="0"/>
      </c:catAx>
      <c:valAx>
        <c:axId val="126680271"/>
        <c:scaling>
          <c:orientation val="minMax"/>
        </c:scaling>
        <c:delete val="1"/>
        <c:axPos val="b"/>
        <c:numFmt formatCode="#,##0" sourceLinked="1"/>
        <c:majorTickMark val="out"/>
        <c:minorTickMark val="none"/>
        <c:tickLblPos val="nextTo"/>
        <c:crossAx val="12668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rgbClr val="A5B592">
                <a:alpha val="42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Sheet3!$H$29:$H$33</c:f>
              <c:strCache>
                <c:ptCount val="5"/>
                <c:pt idx="0">
                  <c:v>R01</c:v>
                </c:pt>
                <c:pt idx="1">
                  <c:v>R02</c:v>
                </c:pt>
                <c:pt idx="2">
                  <c:v>R03</c:v>
                </c:pt>
                <c:pt idx="3">
                  <c:v>R04</c:v>
                </c:pt>
                <c:pt idx="4">
                  <c:v>R05</c:v>
                </c:pt>
              </c:strCache>
            </c:strRef>
          </c:cat>
          <c:val>
            <c:numRef>
              <c:f>Sheet3!$I$29:$I$33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3F6-460D-B235-2640ACC112A3}"/>
            </c:ext>
          </c:extLst>
        </c:ser>
        <c:ser>
          <c:idx val="1"/>
          <c:order val="1"/>
          <c:tx>
            <c:strRef>
              <c:f>Sheet3!$K$28</c:f>
              <c:strCache>
                <c:ptCount val="1"/>
                <c:pt idx="0">
                  <c:v>Sel Call</c:v>
                </c:pt>
              </c:strCache>
            </c:strRef>
          </c:tx>
          <c:spPr>
            <a:gradFill flip="none" rotWithShape="1">
              <a:gsLst>
                <a:gs pos="0">
                  <a:srgbClr val="BECB95"/>
                </a:gs>
                <a:gs pos="100000">
                  <a:schemeClr val="tx2">
                    <a:lumMod val="5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Sheet3!$K$29:$K$33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73F6-460D-B235-2640ACC112A3}"/>
            </c:ext>
          </c:extLst>
        </c:ser>
        <c:dLbls>
          <c:dLblPos val="outEnd"/>
          <c:showLegendKey val="0"/>
          <c:showVal val="1"/>
          <c:showCatName val="0"/>
          <c:showSerName val="0"/>
          <c:showPercent val="0"/>
          <c:showBubbleSize val="0"/>
        </c:dLbls>
        <c:gapWidth val="50"/>
        <c:overlap val="100"/>
        <c:axId val="564016831"/>
        <c:axId val="564017311"/>
      </c:barChart>
      <c:catAx>
        <c:axId val="564016831"/>
        <c:scaling>
          <c:orientation val="minMax"/>
        </c:scaling>
        <c:delete val="1"/>
        <c:axPos val="l"/>
        <c:numFmt formatCode="General" sourceLinked="1"/>
        <c:majorTickMark val="none"/>
        <c:minorTickMark val="none"/>
        <c:tickLblPos val="nextTo"/>
        <c:crossAx val="564017311"/>
        <c:crosses val="autoZero"/>
        <c:auto val="1"/>
        <c:lblAlgn val="ctr"/>
        <c:lblOffset val="100"/>
        <c:noMultiLvlLbl val="0"/>
      </c:catAx>
      <c:valAx>
        <c:axId val="564017311"/>
        <c:scaling>
          <c:orientation val="minMax"/>
        </c:scaling>
        <c:delete val="1"/>
        <c:axPos val="b"/>
        <c:numFmt formatCode="#,##0" sourceLinked="1"/>
        <c:majorTickMark val="none"/>
        <c:minorTickMark val="none"/>
        <c:tickLblPos val="nextTo"/>
        <c:crossAx val="56401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A5B592">
                <a:alpha val="42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Sheet3!$H$29:$H$33</c:f>
              <c:strCache>
                <c:ptCount val="5"/>
                <c:pt idx="0">
                  <c:v>R01</c:v>
                </c:pt>
                <c:pt idx="1">
                  <c:v>R02</c:v>
                </c:pt>
                <c:pt idx="2">
                  <c:v>R03</c:v>
                </c:pt>
                <c:pt idx="3">
                  <c:v>R04</c:v>
                </c:pt>
                <c:pt idx="4">
                  <c:v>R05</c:v>
                </c:pt>
              </c:strCache>
            </c:strRef>
          </c:cat>
          <c:val>
            <c:numRef>
              <c:f>Sheet3!$J$29:$J$33</c:f>
              <c:numCache>
                <c:formatCode>"$"#,###.0,""\k</c:formatCode>
                <c:ptCount val="5"/>
                <c:pt idx="0">
                  <c:v>16834</c:v>
                </c:pt>
                <c:pt idx="1">
                  <c:v>19300</c:v>
                </c:pt>
                <c:pt idx="2">
                  <c:v>17700</c:v>
                </c:pt>
                <c:pt idx="3">
                  <c:v>17807</c:v>
                </c:pt>
                <c:pt idx="4">
                  <c:v>18209</c:v>
                </c:pt>
              </c:numCache>
            </c:numRef>
          </c:val>
          <c:extLst>
            <c:ext xmlns:c16="http://schemas.microsoft.com/office/drawing/2014/chart" uri="{C3380CC4-5D6E-409C-BE32-E72D297353CC}">
              <c16:uniqueId val="{00000000-BC85-4CE9-8E05-B406006D942F}"/>
            </c:ext>
          </c:extLst>
        </c:ser>
        <c:ser>
          <c:idx val="2"/>
          <c:order val="2"/>
          <c:tx>
            <c:strRef>
              <c:f>Sheet3!$L$28</c:f>
              <c:strCache>
                <c:ptCount val="1"/>
                <c:pt idx="0">
                  <c:v>Sel Amount</c:v>
                </c:pt>
              </c:strCache>
            </c:strRef>
          </c:tx>
          <c:spPr>
            <a:gradFill>
              <a:gsLst>
                <a:gs pos="0">
                  <a:srgbClr val="BECB95"/>
                </a:gs>
                <a:gs pos="100000">
                  <a:schemeClr val="tx2">
                    <a:lumMod val="50000"/>
                  </a:schemeClr>
                </a:gs>
              </a:gsLst>
              <a:lin ang="0" scaled="1"/>
            </a:gradFill>
            <a:ln>
              <a:noFill/>
            </a:ln>
            <a:effectLst/>
          </c:spPr>
          <c:invertIfNegative val="0"/>
          <c:dLbls>
            <c:delete val="1"/>
          </c:dLbls>
          <c:val>
            <c:numRef>
              <c:f>Sheet3!$L$29:$L$33</c:f>
              <c:numCache>
                <c:formatCode>General</c:formatCode>
                <c:ptCount val="5"/>
                <c:pt idx="0">
                  <c:v>#N/A</c:v>
                </c:pt>
                <c:pt idx="1">
                  <c:v>19300</c:v>
                </c:pt>
                <c:pt idx="2">
                  <c:v>#N/A</c:v>
                </c:pt>
                <c:pt idx="3">
                  <c:v>#N/A</c:v>
                </c:pt>
                <c:pt idx="4">
                  <c:v>#N/A</c:v>
                </c:pt>
              </c:numCache>
            </c:numRef>
          </c:val>
          <c:extLst>
            <c:ext xmlns:c16="http://schemas.microsoft.com/office/drawing/2014/chart" uri="{C3380CC4-5D6E-409C-BE32-E72D297353CC}">
              <c16:uniqueId val="{00000001-BC85-4CE9-8E05-B406006D942F}"/>
            </c:ext>
          </c:extLst>
        </c:ser>
        <c:dLbls>
          <c:dLblPos val="inEnd"/>
          <c:showLegendKey val="0"/>
          <c:showVal val="1"/>
          <c:showCatName val="0"/>
          <c:showSerName val="0"/>
          <c:showPercent val="0"/>
          <c:showBubbleSize val="0"/>
        </c:dLbls>
        <c:gapWidth val="50"/>
        <c:overlap val="100"/>
        <c:axId val="564023551"/>
        <c:axId val="564007231"/>
        <c:extLst>
          <c:ext xmlns:c15="http://schemas.microsoft.com/office/drawing/2012/chart" uri="{02D57815-91ED-43cb-92C2-25804820EDAC}">
            <c15:filteredBarSeries>
              <c15:ser>
                <c:idx val="1"/>
                <c:order val="1"/>
                <c:tx>
                  <c:strRef>
                    <c:extLst>
                      <c:ext uri="{02D57815-91ED-43cb-92C2-25804820EDAC}">
                        <c15:formulaRef>
                          <c15:sqref>Sheet3!$K$28</c15:sqref>
                        </c15:formulaRef>
                      </c:ext>
                    </c:extLst>
                    <c:strCache>
                      <c:ptCount val="1"/>
                      <c:pt idx="0">
                        <c:v>Sel Call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Sheet3!$K$29:$K$33</c15:sqref>
                        </c15:formulaRef>
                      </c:ext>
                    </c:extLst>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2-BC85-4CE9-8E05-B406006D942F}"/>
                  </c:ext>
                </c:extLst>
              </c15:ser>
            </c15:filteredBarSeries>
          </c:ext>
        </c:extLst>
      </c:barChart>
      <c:catAx>
        <c:axId val="56402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07231"/>
        <c:crosses val="autoZero"/>
        <c:auto val="1"/>
        <c:lblAlgn val="ctr"/>
        <c:lblOffset val="100"/>
        <c:noMultiLvlLbl val="0"/>
      </c:catAx>
      <c:valAx>
        <c:axId val="564007231"/>
        <c:scaling>
          <c:orientation val="minMax"/>
        </c:scaling>
        <c:delete val="1"/>
        <c:axPos val="b"/>
        <c:numFmt formatCode="&quot;$&quot;#,###.0,&quot;&quot;\k" sourceLinked="1"/>
        <c:majorTickMark val="none"/>
        <c:minorTickMark val="none"/>
        <c:tickLblPos val="nextTo"/>
        <c:crossAx val="56402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[07.sample-data-excel-portfolio-project.xlsx]Sheet3!PivotTable14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Female</a:t>
            </a:r>
            <a:r>
              <a:rPr lang="en-US"/>
              <a:t> vs</a:t>
            </a:r>
            <a:r>
              <a:rPr lang="en-US" baseline="0"/>
              <a:t> </a:t>
            </a:r>
            <a:r>
              <a:rPr lang="en-US" baseline="0">
                <a:solidFill>
                  <a:schemeClr val="tx2">
                    <a:lumMod val="60000"/>
                    <a:lumOff val="40000"/>
                  </a:schemeClr>
                </a:solidFill>
              </a:rPr>
              <a:t>Male</a:t>
            </a:r>
            <a:r>
              <a:rPr lang="en-US" baseline="0"/>
              <a:t> Callers</a:t>
            </a:r>
            <a:endParaRPr lang="en-US"/>
          </a:p>
        </c:rich>
      </c:tx>
      <c:overlay val="0"/>
      <c:spPr>
        <a:solidFill>
          <a:srgbClr val="FAFBFA"/>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FAFBFA">
                <a:alpha val="31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BECB95"/>
              </a:gs>
              <a:gs pos="100000">
                <a:schemeClr val="tx2">
                  <a:lumMod val="20000"/>
                  <a:lumOff val="80000"/>
                </a:schemeClr>
              </a:gs>
            </a:gsLst>
            <a:lin ang="5400000" scaled="1"/>
            <a:tileRect/>
          </a:gradFill>
          <a:ln>
            <a:noFill/>
          </a:ln>
          <a:effectLst/>
        </c:spPr>
        <c:marker>
          <c:symbol val="none"/>
        </c:marker>
        <c:dLbl>
          <c:idx val="0"/>
          <c:spPr>
            <a:solidFill>
              <a:srgbClr val="FAFBFA">
                <a:alpha val="32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Sheet3!$F$38:$F$39</c:f>
              <c:strCache>
                <c:ptCount val="1"/>
                <c:pt idx="0">
                  <c:v>Female</c:v>
                </c:pt>
              </c:strCache>
            </c:strRef>
          </c:tx>
          <c:spPr>
            <a:solidFill>
              <a:schemeClr val="accent1"/>
            </a:solidFill>
            <a:ln>
              <a:noFill/>
            </a:ln>
            <a:effectLst/>
          </c:spPr>
          <c:invertIfNegative val="0"/>
          <c:dLbls>
            <c:spPr>
              <a:solidFill>
                <a:srgbClr val="FAFBFA">
                  <a:alpha val="31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Sheet3!$E$40:$E$43</c:f>
              <c:strCache>
                <c:ptCount val="3"/>
                <c:pt idx="0">
                  <c:v>Cincinnati</c:v>
                </c:pt>
                <c:pt idx="1">
                  <c:v>Cleveland</c:v>
                </c:pt>
                <c:pt idx="2">
                  <c:v>Columbus</c:v>
                </c:pt>
              </c:strCache>
            </c:strRef>
          </c:cat>
          <c:val>
            <c:numRef>
              <c:f>Sheet3!$F$40:$F$43</c:f>
              <c:numCache>
                <c:formatCode>#,##0</c:formatCode>
                <c:ptCount val="3"/>
                <c:pt idx="0">
                  <c:v>144</c:v>
                </c:pt>
                <c:pt idx="1">
                  <c:v>326</c:v>
                </c:pt>
                <c:pt idx="2">
                  <c:v>129</c:v>
                </c:pt>
              </c:numCache>
            </c:numRef>
          </c:val>
          <c:extLst>
            <c:ext xmlns:c16="http://schemas.microsoft.com/office/drawing/2014/chart" uri="{C3380CC4-5D6E-409C-BE32-E72D297353CC}">
              <c16:uniqueId val="{00000000-903D-4E19-9262-1BAB968947ED}"/>
            </c:ext>
          </c:extLst>
        </c:ser>
        <c:ser>
          <c:idx val="1"/>
          <c:order val="1"/>
          <c:tx>
            <c:strRef>
              <c:f>Sheet3!$G$38:$G$39</c:f>
              <c:strCache>
                <c:ptCount val="1"/>
                <c:pt idx="0">
                  <c:v>Male</c:v>
                </c:pt>
              </c:strCache>
            </c:strRef>
          </c:tx>
          <c:spPr>
            <a:gradFill flip="none" rotWithShape="1">
              <a:gsLst>
                <a:gs pos="0">
                  <a:srgbClr val="BECB95"/>
                </a:gs>
                <a:gs pos="100000">
                  <a:schemeClr val="tx2">
                    <a:lumMod val="20000"/>
                    <a:lumOff val="80000"/>
                  </a:schemeClr>
                </a:gs>
              </a:gsLst>
              <a:lin ang="5400000" scaled="1"/>
              <a:tileRect/>
            </a:gradFill>
            <a:ln>
              <a:noFill/>
            </a:ln>
            <a:effectLst/>
          </c:spPr>
          <c:invertIfNegative val="0"/>
          <c:dLbls>
            <c:spPr>
              <a:solidFill>
                <a:srgbClr val="FAFBFA">
                  <a:alpha val="32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Sheet3!$E$40:$E$43</c:f>
              <c:strCache>
                <c:ptCount val="3"/>
                <c:pt idx="0">
                  <c:v>Cincinnati</c:v>
                </c:pt>
                <c:pt idx="1">
                  <c:v>Cleveland</c:v>
                </c:pt>
                <c:pt idx="2">
                  <c:v>Columbus</c:v>
                </c:pt>
              </c:strCache>
            </c:strRef>
          </c:cat>
          <c:val>
            <c:numRef>
              <c:f>Sheet3!$G$40:$G$43</c:f>
              <c:numCache>
                <c:formatCode>#,##0</c:formatCode>
                <c:ptCount val="3"/>
                <c:pt idx="0">
                  <c:v>132</c:v>
                </c:pt>
                <c:pt idx="1">
                  <c:v>63</c:v>
                </c:pt>
                <c:pt idx="2">
                  <c:v>206</c:v>
                </c:pt>
              </c:numCache>
            </c:numRef>
          </c:val>
          <c:extLst>
            <c:ext xmlns:c16="http://schemas.microsoft.com/office/drawing/2014/chart" uri="{C3380CC4-5D6E-409C-BE32-E72D297353CC}">
              <c16:uniqueId val="{00000001-903D-4E19-9262-1BAB968947ED}"/>
            </c:ext>
          </c:extLst>
        </c:ser>
        <c:dLbls>
          <c:showLegendKey val="0"/>
          <c:showVal val="0"/>
          <c:showCatName val="0"/>
          <c:showSerName val="0"/>
          <c:showPercent val="0"/>
          <c:showBubbleSize val="0"/>
        </c:dLbls>
        <c:gapWidth val="24"/>
        <c:overlap val="100"/>
        <c:axId val="437387791"/>
        <c:axId val="437389231"/>
      </c:barChart>
      <c:catAx>
        <c:axId val="43738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89231"/>
        <c:crosses val="autoZero"/>
        <c:auto val="1"/>
        <c:lblAlgn val="ctr"/>
        <c:lblOffset val="100"/>
        <c:noMultiLvlLbl val="0"/>
      </c:catAx>
      <c:valAx>
        <c:axId val="437389231"/>
        <c:scaling>
          <c:orientation val="minMax"/>
        </c:scaling>
        <c:delete val="1"/>
        <c:axPos val="l"/>
        <c:numFmt formatCode="0%" sourceLinked="1"/>
        <c:majorTickMark val="out"/>
        <c:minorTickMark val="none"/>
        <c:tickLblPos val="nextTo"/>
        <c:crossAx val="43738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[07.sample-data-excel-portfolio-project.xlsx]Sheet3!Rep satisfaction</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Sheet3!$F$48</c:f>
              <c:strCache>
                <c:ptCount val="1"/>
                <c:pt idx="0">
                  <c:v>Total</c:v>
                </c:pt>
              </c:strCache>
            </c:strRef>
          </c:tx>
          <c:spPr>
            <a:solidFill>
              <a:schemeClr val="accent1"/>
            </a:solidFill>
            <a:ln>
              <a:noFill/>
            </a:ln>
            <a:effectLst/>
          </c:spPr>
          <c:invertIfNegative val="0"/>
          <c:cat>
            <c:strRef>
              <c:f>Sheet3!$E$49:$E$54</c:f>
              <c:strCache>
                <c:ptCount val="5"/>
                <c:pt idx="0">
                  <c:v>1</c:v>
                </c:pt>
                <c:pt idx="1">
                  <c:v>2</c:v>
                </c:pt>
                <c:pt idx="2">
                  <c:v>3</c:v>
                </c:pt>
                <c:pt idx="3">
                  <c:v>4</c:v>
                </c:pt>
                <c:pt idx="4">
                  <c:v>5</c:v>
                </c:pt>
              </c:strCache>
            </c:strRef>
          </c:cat>
          <c:val>
            <c:numRef>
              <c:f>Sheet3!$F$49:$F$54</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D16C-4D13-B627-705602CC4BD9}"/>
            </c:ext>
          </c:extLst>
        </c:ser>
        <c:dLbls>
          <c:showLegendKey val="0"/>
          <c:showVal val="0"/>
          <c:showCatName val="0"/>
          <c:showSerName val="0"/>
          <c:showPercent val="0"/>
          <c:showBubbleSize val="0"/>
        </c:dLbls>
        <c:gapWidth val="27"/>
        <c:overlap val="-27"/>
        <c:axId val="438687279"/>
        <c:axId val="438684399"/>
      </c:barChart>
      <c:catAx>
        <c:axId val="438687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84399"/>
        <c:crosses val="autoZero"/>
        <c:auto val="1"/>
        <c:lblAlgn val="ctr"/>
        <c:lblOffset val="100"/>
        <c:noMultiLvlLbl val="0"/>
      </c:catAx>
      <c:valAx>
        <c:axId val="43868439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68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xdr:col>
      <xdr:colOff>0</xdr:colOff>
      <xdr:row>9</xdr:row>
      <xdr:rowOff>0</xdr:rowOff>
    </xdr:from>
    <xdr:to>
      <xdr:col>3</xdr:col>
      <xdr:colOff>596900</xdr:colOff>
      <xdr:row>12</xdr:row>
      <xdr:rowOff>184150</xdr:rowOff>
    </xdr:to>
    <xdr:sp macro="" textlink="Sheet3!B4">
      <xdr:nvSpPr>
        <xdr:cNvPr id="14" name="Rectangle: Rounded Corners 13">
          <a:extLst>
            <a:ext uri="{FF2B5EF4-FFF2-40B4-BE49-F238E27FC236}">
              <a16:creationId xmlns:a16="http://schemas.microsoft.com/office/drawing/2014/main" id="{012DB741-2BEB-4045-B133-C145A3FF001A}"/>
            </a:ext>
          </a:extLst>
        </xdr:cNvPr>
        <xdr:cNvSpPr/>
      </xdr:nvSpPr>
      <xdr:spPr>
        <a:xfrm>
          <a:off x="431800" y="1714500"/>
          <a:ext cx="1358900" cy="755650"/>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E98BE5-ECE5-480C-A684-B5F145A7DF6B}" type="TxLink">
            <a:rPr lang="en-US" sz="1400" b="1" i="0" u="none" strike="noStrike">
              <a:solidFill>
                <a:srgbClr val="000000"/>
              </a:solidFill>
              <a:latin typeface="Elephant" panose="02020904090505020303" pitchFamily="18" charset="0"/>
              <a:ea typeface="+mn-ea"/>
              <a:cs typeface="Aharoni" panose="020F0502020204030204" pitchFamily="2" charset="-79"/>
            </a:rPr>
            <a:pPr marL="0" indent="0" algn="ctr"/>
            <a:t>89,850</a:t>
          </a:fld>
          <a:endParaRPr lang="en-US" sz="1400" b="1" i="0" u="none" strike="noStrike">
            <a:solidFill>
              <a:srgbClr val="000000"/>
            </a:solidFill>
            <a:latin typeface="Elephant" panose="02020904090505020303" pitchFamily="18" charset="0"/>
            <a:ea typeface="+mn-ea"/>
            <a:cs typeface="Aharoni" panose="020F0502020204030204" pitchFamily="2" charset="-79"/>
          </a:endParaRPr>
        </a:p>
      </xdr:txBody>
    </xdr:sp>
    <xdr:clientData/>
  </xdr:twoCellAnchor>
  <xdr:twoCellAnchor>
    <xdr:from>
      <xdr:col>2</xdr:col>
      <xdr:colOff>317500</xdr:colOff>
      <xdr:row>9</xdr:row>
      <xdr:rowOff>12700</xdr:rowOff>
    </xdr:from>
    <xdr:to>
      <xdr:col>3</xdr:col>
      <xdr:colOff>254000</xdr:colOff>
      <xdr:row>10</xdr:row>
      <xdr:rowOff>12700</xdr:rowOff>
    </xdr:to>
    <xdr:sp macro="" textlink="">
      <xdr:nvSpPr>
        <xdr:cNvPr id="15" name="TextBox 14">
          <a:extLst>
            <a:ext uri="{FF2B5EF4-FFF2-40B4-BE49-F238E27FC236}">
              <a16:creationId xmlns:a16="http://schemas.microsoft.com/office/drawing/2014/main" id="{B4AF5090-98CE-493C-97E3-071E51E65EC5}"/>
            </a:ext>
          </a:extLst>
        </xdr:cNvPr>
        <xdr:cNvSpPr txBox="1"/>
      </xdr:nvSpPr>
      <xdr:spPr>
        <a:xfrm>
          <a:off x="749300" y="1727200"/>
          <a:ext cx="698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Duration</a:t>
          </a:r>
        </a:p>
      </xdr:txBody>
    </xdr:sp>
    <xdr:clientData/>
  </xdr:twoCellAnchor>
  <xdr:twoCellAnchor>
    <xdr:from>
      <xdr:col>2</xdr:col>
      <xdr:colOff>304800</xdr:colOff>
      <xdr:row>11</xdr:row>
      <xdr:rowOff>127000</xdr:rowOff>
    </xdr:from>
    <xdr:to>
      <xdr:col>3</xdr:col>
      <xdr:colOff>285750</xdr:colOff>
      <xdr:row>12</xdr:row>
      <xdr:rowOff>171450</xdr:rowOff>
    </xdr:to>
    <xdr:sp macro="" textlink="Sheet3!B8">
      <xdr:nvSpPr>
        <xdr:cNvPr id="16" name="TextBox 15">
          <a:extLst>
            <a:ext uri="{FF2B5EF4-FFF2-40B4-BE49-F238E27FC236}">
              <a16:creationId xmlns:a16="http://schemas.microsoft.com/office/drawing/2014/main" id="{A288301C-15EA-4557-82AB-E08BE113E656}"/>
            </a:ext>
          </a:extLst>
        </xdr:cNvPr>
        <xdr:cNvSpPr txBox="1"/>
      </xdr:nvSpPr>
      <xdr:spPr>
        <a:xfrm>
          <a:off x="736600" y="2222500"/>
          <a:ext cx="742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42BEB5-5557-4BFA-BF07-825E07B754D6}" type="TxLink">
            <a:rPr lang="en-US" sz="1100" b="1" i="0" u="none" strike="noStrike">
              <a:solidFill>
                <a:srgbClr val="000000"/>
              </a:solidFill>
              <a:latin typeface="Franklin Gothic Book"/>
              <a:ea typeface="+mn-ea"/>
              <a:cs typeface="+mn-cs"/>
            </a:rPr>
            <a:pPr marL="0" indent="0" algn="ctr"/>
            <a:t>19,300</a:t>
          </a:fld>
          <a:endParaRPr lang="en-US" sz="1100" b="1" i="0" u="none" strike="noStrike">
            <a:solidFill>
              <a:srgbClr val="000000"/>
            </a:solidFill>
            <a:latin typeface="Franklin Gothic Book"/>
            <a:ea typeface="+mn-ea"/>
            <a:cs typeface="+mn-cs"/>
          </a:endParaRPr>
        </a:p>
      </xdr:txBody>
    </xdr:sp>
    <xdr:clientData/>
  </xdr:twoCellAnchor>
  <xdr:twoCellAnchor>
    <xdr:from>
      <xdr:col>2</xdr:col>
      <xdr:colOff>0</xdr:colOff>
      <xdr:row>3</xdr:row>
      <xdr:rowOff>0</xdr:rowOff>
    </xdr:from>
    <xdr:to>
      <xdr:col>3</xdr:col>
      <xdr:colOff>596900</xdr:colOff>
      <xdr:row>6</xdr:row>
      <xdr:rowOff>184150</xdr:rowOff>
    </xdr:to>
    <xdr:sp macro="" textlink="Sheet3!A4">
      <xdr:nvSpPr>
        <xdr:cNvPr id="23" name="Rectangle: Rounded Corners 22">
          <a:extLst>
            <a:ext uri="{FF2B5EF4-FFF2-40B4-BE49-F238E27FC236}">
              <a16:creationId xmlns:a16="http://schemas.microsoft.com/office/drawing/2014/main" id="{6800B586-FC77-4C66-B7E0-81D44D094043}"/>
            </a:ext>
          </a:extLst>
        </xdr:cNvPr>
        <xdr:cNvSpPr/>
      </xdr:nvSpPr>
      <xdr:spPr>
        <a:xfrm>
          <a:off x="431800" y="571500"/>
          <a:ext cx="1358900" cy="755650"/>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91B7A4-8C0C-44C7-87E6-D3CA0408C3C9}" type="TxLink">
            <a:rPr lang="en-US" sz="1400" b="1" i="0" u="none" strike="noStrike">
              <a:solidFill>
                <a:srgbClr val="000000"/>
              </a:solidFill>
              <a:latin typeface="Elephant" panose="02020904090505020303" pitchFamily="18" charset="0"/>
              <a:cs typeface="Aharoni" panose="020F0502020204030204" pitchFamily="2" charset="-79"/>
            </a:rPr>
            <a:pPr algn="ctr"/>
            <a:t>1,000</a:t>
          </a:fld>
          <a:endParaRPr lang="en-US" sz="1400" b="1">
            <a:latin typeface="Elephant" panose="02020904090505020303" pitchFamily="18" charset="0"/>
            <a:cs typeface="Aharoni" panose="020F0502020204030204" pitchFamily="2" charset="-79"/>
          </a:endParaRPr>
        </a:p>
      </xdr:txBody>
    </xdr:sp>
    <xdr:clientData/>
  </xdr:twoCellAnchor>
  <xdr:twoCellAnchor>
    <xdr:from>
      <xdr:col>2</xdr:col>
      <xdr:colOff>317500</xdr:colOff>
      <xdr:row>3</xdr:row>
      <xdr:rowOff>12700</xdr:rowOff>
    </xdr:from>
    <xdr:to>
      <xdr:col>3</xdr:col>
      <xdr:colOff>254000</xdr:colOff>
      <xdr:row>4</xdr:row>
      <xdr:rowOff>12700</xdr:rowOff>
    </xdr:to>
    <xdr:sp macro="" textlink="">
      <xdr:nvSpPr>
        <xdr:cNvPr id="24" name="TextBox 23">
          <a:extLst>
            <a:ext uri="{FF2B5EF4-FFF2-40B4-BE49-F238E27FC236}">
              <a16:creationId xmlns:a16="http://schemas.microsoft.com/office/drawing/2014/main" id="{DD433786-EBB7-43E1-94D5-C2D4955E3889}"/>
            </a:ext>
          </a:extLst>
        </xdr:cNvPr>
        <xdr:cNvSpPr txBox="1"/>
      </xdr:nvSpPr>
      <xdr:spPr>
        <a:xfrm>
          <a:off x="749300" y="584200"/>
          <a:ext cx="698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Calls</a:t>
          </a:r>
        </a:p>
      </xdr:txBody>
    </xdr:sp>
    <xdr:clientData/>
  </xdr:twoCellAnchor>
  <xdr:twoCellAnchor>
    <xdr:from>
      <xdr:col>2</xdr:col>
      <xdr:colOff>304800</xdr:colOff>
      <xdr:row>5</xdr:row>
      <xdr:rowOff>127000</xdr:rowOff>
    </xdr:from>
    <xdr:to>
      <xdr:col>3</xdr:col>
      <xdr:colOff>285750</xdr:colOff>
      <xdr:row>6</xdr:row>
      <xdr:rowOff>171450</xdr:rowOff>
    </xdr:to>
    <xdr:sp macro="" textlink="Sheet3!A8">
      <xdr:nvSpPr>
        <xdr:cNvPr id="25" name="TextBox 24">
          <a:extLst>
            <a:ext uri="{FF2B5EF4-FFF2-40B4-BE49-F238E27FC236}">
              <a16:creationId xmlns:a16="http://schemas.microsoft.com/office/drawing/2014/main" id="{A8EFBDBA-A57E-4A34-9310-E67D530367F1}"/>
            </a:ext>
          </a:extLst>
        </xdr:cNvPr>
        <xdr:cNvSpPr txBox="1"/>
      </xdr:nvSpPr>
      <xdr:spPr>
        <a:xfrm>
          <a:off x="736600" y="1079500"/>
          <a:ext cx="742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4345AC-C631-48C0-AA5F-E6D7F6A33688}" type="TxLink">
            <a:rPr lang="en-US" sz="1100" b="1" i="0" u="none" strike="noStrike">
              <a:solidFill>
                <a:srgbClr val="000000"/>
              </a:solidFill>
              <a:latin typeface="Franklin Gothic Book"/>
            </a:rPr>
            <a:pPr algn="ctr"/>
            <a:t>218</a:t>
          </a:fld>
          <a:endParaRPr lang="en-US" sz="1100" b="1"/>
        </a:p>
      </xdr:txBody>
    </xdr:sp>
    <xdr:clientData/>
  </xdr:twoCellAnchor>
  <xdr:twoCellAnchor>
    <xdr:from>
      <xdr:col>2</xdr:col>
      <xdr:colOff>0</xdr:colOff>
      <xdr:row>15</xdr:row>
      <xdr:rowOff>0</xdr:rowOff>
    </xdr:from>
    <xdr:to>
      <xdr:col>3</xdr:col>
      <xdr:colOff>596900</xdr:colOff>
      <xdr:row>18</xdr:row>
      <xdr:rowOff>184150</xdr:rowOff>
    </xdr:to>
    <xdr:sp macro="" textlink="Sheet3!C4">
      <xdr:nvSpPr>
        <xdr:cNvPr id="26" name="Rectangle: Rounded Corners 25">
          <a:extLst>
            <a:ext uri="{FF2B5EF4-FFF2-40B4-BE49-F238E27FC236}">
              <a16:creationId xmlns:a16="http://schemas.microsoft.com/office/drawing/2014/main" id="{0019759C-2FBC-4682-9618-B82513A45AD1}"/>
            </a:ext>
          </a:extLst>
        </xdr:cNvPr>
        <xdr:cNvSpPr/>
      </xdr:nvSpPr>
      <xdr:spPr>
        <a:xfrm>
          <a:off x="427935" y="2898913"/>
          <a:ext cx="1356139" cy="763933"/>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5C990F-61F0-4ECA-A8FF-E3CB65D185DD}" type="TxLink">
            <a:rPr lang="en-US" sz="1400" b="1" i="0" u="none" strike="noStrike">
              <a:solidFill>
                <a:srgbClr val="000000"/>
              </a:solidFill>
              <a:latin typeface="Elephant" panose="02020904090505020303" pitchFamily="18" charset="0"/>
              <a:ea typeface="+mn-ea"/>
              <a:cs typeface="Aharoni" panose="020F0502020204030204" pitchFamily="2" charset="-79"/>
            </a:rPr>
            <a:pPr marL="0" indent="0" algn="ctr"/>
            <a:t>$96,623</a:t>
          </a:fld>
          <a:endParaRPr lang="en-US" sz="1400" b="1" i="0" u="none" strike="noStrike">
            <a:solidFill>
              <a:srgbClr val="000000"/>
            </a:solidFill>
            <a:latin typeface="Elephant" panose="02020904090505020303" pitchFamily="18" charset="0"/>
            <a:ea typeface="+mn-ea"/>
            <a:cs typeface="Aharoni" panose="020F0502020204030204" pitchFamily="2" charset="-79"/>
          </a:endParaRPr>
        </a:p>
      </xdr:txBody>
    </xdr:sp>
    <xdr:clientData/>
  </xdr:twoCellAnchor>
  <xdr:twoCellAnchor>
    <xdr:from>
      <xdr:col>2</xdr:col>
      <xdr:colOff>144946</xdr:colOff>
      <xdr:row>15</xdr:row>
      <xdr:rowOff>26505</xdr:rowOff>
    </xdr:from>
    <xdr:to>
      <xdr:col>3</xdr:col>
      <xdr:colOff>510761</xdr:colOff>
      <xdr:row>16</xdr:row>
      <xdr:rowOff>69022</xdr:rowOff>
    </xdr:to>
    <xdr:sp macro="" textlink="">
      <xdr:nvSpPr>
        <xdr:cNvPr id="27" name="TextBox 26">
          <a:extLst>
            <a:ext uri="{FF2B5EF4-FFF2-40B4-BE49-F238E27FC236}">
              <a16:creationId xmlns:a16="http://schemas.microsoft.com/office/drawing/2014/main" id="{CE870AF8-0FA7-4AED-8E83-B62DEBB3A530}"/>
            </a:ext>
          </a:extLst>
        </xdr:cNvPr>
        <xdr:cNvSpPr txBox="1"/>
      </xdr:nvSpPr>
      <xdr:spPr>
        <a:xfrm>
          <a:off x="572881" y="2925418"/>
          <a:ext cx="1125054" cy="23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Sales</a:t>
          </a:r>
          <a:r>
            <a:rPr lang="en-US" sz="1100" b="1" baseline="0"/>
            <a:t> Amount</a:t>
          </a:r>
          <a:endParaRPr lang="en-US" sz="1100" b="1"/>
        </a:p>
      </xdr:txBody>
    </xdr:sp>
    <xdr:clientData/>
  </xdr:twoCellAnchor>
  <xdr:twoCellAnchor>
    <xdr:from>
      <xdr:col>2</xdr:col>
      <xdr:colOff>304800</xdr:colOff>
      <xdr:row>17</xdr:row>
      <xdr:rowOff>127000</xdr:rowOff>
    </xdr:from>
    <xdr:to>
      <xdr:col>3</xdr:col>
      <xdr:colOff>285750</xdr:colOff>
      <xdr:row>18</xdr:row>
      <xdr:rowOff>171450</xdr:rowOff>
    </xdr:to>
    <xdr:sp macro="" textlink="Sheet3!C8">
      <xdr:nvSpPr>
        <xdr:cNvPr id="28" name="TextBox 27">
          <a:extLst>
            <a:ext uri="{FF2B5EF4-FFF2-40B4-BE49-F238E27FC236}">
              <a16:creationId xmlns:a16="http://schemas.microsoft.com/office/drawing/2014/main" id="{E1DCA365-1C65-4B41-8EAE-79DA7A022C23}"/>
            </a:ext>
          </a:extLst>
        </xdr:cNvPr>
        <xdr:cNvSpPr txBox="1"/>
      </xdr:nvSpPr>
      <xdr:spPr>
        <a:xfrm>
          <a:off x="736600" y="3365500"/>
          <a:ext cx="742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9E9850-DC67-468A-8210-FEE7A7490549}" type="TxLink">
            <a:rPr lang="en-US" sz="1100" b="1" i="0" u="none" strike="noStrike">
              <a:solidFill>
                <a:srgbClr val="000000"/>
              </a:solidFill>
              <a:latin typeface="Franklin Gothic Book"/>
              <a:ea typeface="+mn-ea"/>
              <a:cs typeface="+mn-cs"/>
            </a:rPr>
            <a:pPr marL="0" indent="0" algn="ctr"/>
            <a:t>$20,581</a:t>
          </a:fld>
          <a:endParaRPr lang="en-US" sz="1100" b="1" i="0" u="none" strike="noStrike">
            <a:solidFill>
              <a:srgbClr val="000000"/>
            </a:solidFill>
            <a:latin typeface="Franklin Gothic Book"/>
            <a:ea typeface="+mn-ea"/>
            <a:cs typeface="+mn-cs"/>
          </a:endParaRPr>
        </a:p>
      </xdr:txBody>
    </xdr:sp>
    <xdr:clientData/>
  </xdr:twoCellAnchor>
  <xdr:twoCellAnchor>
    <xdr:from>
      <xdr:col>2</xdr:col>
      <xdr:colOff>0</xdr:colOff>
      <xdr:row>21</xdr:row>
      <xdr:rowOff>0</xdr:rowOff>
    </xdr:from>
    <xdr:to>
      <xdr:col>3</xdr:col>
      <xdr:colOff>596900</xdr:colOff>
      <xdr:row>24</xdr:row>
      <xdr:rowOff>184150</xdr:rowOff>
    </xdr:to>
    <xdr:sp macro="" textlink="Sheet3!D4">
      <xdr:nvSpPr>
        <xdr:cNvPr id="29" name="Rectangle: Rounded Corners 28">
          <a:extLst>
            <a:ext uri="{FF2B5EF4-FFF2-40B4-BE49-F238E27FC236}">
              <a16:creationId xmlns:a16="http://schemas.microsoft.com/office/drawing/2014/main" id="{89B83302-D099-4DA4-8928-1C752E9E3893}"/>
            </a:ext>
          </a:extLst>
        </xdr:cNvPr>
        <xdr:cNvSpPr/>
      </xdr:nvSpPr>
      <xdr:spPr>
        <a:xfrm>
          <a:off x="431800" y="4000500"/>
          <a:ext cx="1358900" cy="755650"/>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E36A93B-225B-4D64-9709-36A196BE1B45}" type="TxLink">
            <a:rPr lang="en-US" sz="1400" b="1" i="0" u="none" strike="noStrike">
              <a:solidFill>
                <a:srgbClr val="000000"/>
              </a:solidFill>
              <a:latin typeface="Elephant" panose="02020904090505020303" pitchFamily="18" charset="0"/>
              <a:ea typeface="+mn-ea"/>
              <a:cs typeface="Aharoni" panose="020F0502020204030204" pitchFamily="2" charset="-79"/>
            </a:rPr>
            <a:pPr marL="0" indent="0" algn="ctr"/>
            <a:t>3.9</a:t>
          </a:fld>
          <a:endParaRPr lang="en-US" sz="1400" b="1" i="0" u="none" strike="noStrike">
            <a:solidFill>
              <a:srgbClr val="000000"/>
            </a:solidFill>
            <a:latin typeface="Elephant" panose="02020904090505020303" pitchFamily="18" charset="0"/>
            <a:ea typeface="+mn-ea"/>
            <a:cs typeface="Aharoni" panose="020F0502020204030204" pitchFamily="2" charset="-79"/>
          </a:endParaRPr>
        </a:p>
      </xdr:txBody>
    </xdr:sp>
    <xdr:clientData/>
  </xdr:twoCellAnchor>
  <xdr:twoCellAnchor>
    <xdr:from>
      <xdr:col>2</xdr:col>
      <xdr:colOff>179457</xdr:colOff>
      <xdr:row>21</xdr:row>
      <xdr:rowOff>19602</xdr:rowOff>
    </xdr:from>
    <xdr:to>
      <xdr:col>3</xdr:col>
      <xdr:colOff>490055</xdr:colOff>
      <xdr:row>22</xdr:row>
      <xdr:rowOff>20706</xdr:rowOff>
    </xdr:to>
    <xdr:sp macro="" textlink="">
      <xdr:nvSpPr>
        <xdr:cNvPr id="30" name="TextBox 29">
          <a:extLst>
            <a:ext uri="{FF2B5EF4-FFF2-40B4-BE49-F238E27FC236}">
              <a16:creationId xmlns:a16="http://schemas.microsoft.com/office/drawing/2014/main" id="{E2D459AE-BF9F-49CB-8C70-AC581E2A1678}"/>
            </a:ext>
          </a:extLst>
        </xdr:cNvPr>
        <xdr:cNvSpPr txBox="1"/>
      </xdr:nvSpPr>
      <xdr:spPr>
        <a:xfrm>
          <a:off x="607392" y="4078080"/>
          <a:ext cx="1069837" cy="194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Rating</a:t>
          </a:r>
          <a:endParaRPr lang="en-US" sz="1100" b="1"/>
        </a:p>
      </xdr:txBody>
    </xdr:sp>
    <xdr:clientData/>
  </xdr:twoCellAnchor>
  <xdr:twoCellAnchor>
    <xdr:from>
      <xdr:col>2</xdr:col>
      <xdr:colOff>304800</xdr:colOff>
      <xdr:row>23</xdr:row>
      <xdr:rowOff>127000</xdr:rowOff>
    </xdr:from>
    <xdr:to>
      <xdr:col>3</xdr:col>
      <xdr:colOff>285750</xdr:colOff>
      <xdr:row>24</xdr:row>
      <xdr:rowOff>171450</xdr:rowOff>
    </xdr:to>
    <xdr:sp macro="" textlink="Sheet3!D8">
      <xdr:nvSpPr>
        <xdr:cNvPr id="31" name="TextBox 30">
          <a:extLst>
            <a:ext uri="{FF2B5EF4-FFF2-40B4-BE49-F238E27FC236}">
              <a16:creationId xmlns:a16="http://schemas.microsoft.com/office/drawing/2014/main" id="{5CBD22B1-384A-4DAF-A02D-5A8F35DEF5D8}"/>
            </a:ext>
          </a:extLst>
        </xdr:cNvPr>
        <xdr:cNvSpPr txBox="1"/>
      </xdr:nvSpPr>
      <xdr:spPr>
        <a:xfrm>
          <a:off x="736600" y="4508500"/>
          <a:ext cx="742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DBC22A-7F54-4E46-9648-B1DCC0B34809}" type="TxLink">
            <a:rPr lang="en-US" sz="1100" b="1" i="0" u="none" strike="noStrike">
              <a:solidFill>
                <a:srgbClr val="000000"/>
              </a:solidFill>
              <a:latin typeface="Franklin Gothic Book"/>
              <a:ea typeface="+mn-ea"/>
              <a:cs typeface="+mn-cs"/>
            </a:rPr>
            <a:pPr marL="0" indent="0" algn="ctr"/>
            <a:t>3.9</a:t>
          </a:fld>
          <a:endParaRPr lang="en-US" sz="1100" b="1" i="0" u="none" strike="noStrike">
            <a:solidFill>
              <a:srgbClr val="000000"/>
            </a:solidFill>
            <a:latin typeface="Franklin Gothic Book"/>
            <a:ea typeface="+mn-ea"/>
            <a:cs typeface="+mn-cs"/>
          </a:endParaRPr>
        </a:p>
      </xdr:txBody>
    </xdr:sp>
    <xdr:clientData/>
  </xdr:twoCellAnchor>
  <xdr:twoCellAnchor>
    <xdr:from>
      <xdr:col>2</xdr:col>
      <xdr:colOff>0</xdr:colOff>
      <xdr:row>27</xdr:row>
      <xdr:rowOff>0</xdr:rowOff>
    </xdr:from>
    <xdr:to>
      <xdr:col>3</xdr:col>
      <xdr:colOff>596900</xdr:colOff>
      <xdr:row>30</xdr:row>
      <xdr:rowOff>186910</xdr:rowOff>
    </xdr:to>
    <xdr:sp macro="" textlink="Sheet3!E4">
      <xdr:nvSpPr>
        <xdr:cNvPr id="35" name="Rectangle: Rounded Corners 34">
          <a:extLst>
            <a:ext uri="{FF2B5EF4-FFF2-40B4-BE49-F238E27FC236}">
              <a16:creationId xmlns:a16="http://schemas.microsoft.com/office/drawing/2014/main" id="{0B113DD4-87C8-46B6-AFFB-4532EEE7A242}"/>
            </a:ext>
          </a:extLst>
        </xdr:cNvPr>
        <xdr:cNvSpPr/>
      </xdr:nvSpPr>
      <xdr:spPr>
        <a:xfrm>
          <a:off x="427935" y="5218043"/>
          <a:ext cx="1356139" cy="766693"/>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180A952-ECB8-4FBC-9549-31179AA4BB08}" type="TxLink">
            <a:rPr lang="en-US" sz="1400" b="1" i="0" u="none" strike="noStrike">
              <a:solidFill>
                <a:srgbClr val="000000"/>
              </a:solidFill>
              <a:latin typeface="Elephant" panose="02020904090505020303" pitchFamily="18" charset="0"/>
              <a:ea typeface="+mn-ea"/>
              <a:cs typeface="Aharoni" panose="020F0502020204030204" pitchFamily="2" charset="-79"/>
            </a:rPr>
            <a:pPr marL="0" indent="0" algn="ctr"/>
            <a:t>307</a:t>
          </a:fld>
          <a:endParaRPr lang="en-US" sz="1400" b="1" i="0" u="none" strike="noStrike">
            <a:solidFill>
              <a:srgbClr val="000000"/>
            </a:solidFill>
            <a:latin typeface="Elephant" panose="02020904090505020303" pitchFamily="18" charset="0"/>
            <a:ea typeface="+mn-ea"/>
            <a:cs typeface="Aharoni" panose="020F0502020204030204" pitchFamily="2" charset="-79"/>
          </a:endParaRPr>
        </a:p>
      </xdr:txBody>
    </xdr:sp>
    <xdr:clientData/>
  </xdr:twoCellAnchor>
  <xdr:twoCellAnchor>
    <xdr:from>
      <xdr:col>1</xdr:col>
      <xdr:colOff>165652</xdr:colOff>
      <xdr:row>27</xdr:row>
      <xdr:rowOff>5798</xdr:rowOff>
    </xdr:from>
    <xdr:to>
      <xdr:col>3</xdr:col>
      <xdr:colOff>628098</xdr:colOff>
      <xdr:row>28</xdr:row>
      <xdr:rowOff>6903</xdr:rowOff>
    </xdr:to>
    <xdr:sp macro="" textlink="">
      <xdr:nvSpPr>
        <xdr:cNvPr id="36" name="TextBox 35">
          <a:extLst>
            <a:ext uri="{FF2B5EF4-FFF2-40B4-BE49-F238E27FC236}">
              <a16:creationId xmlns:a16="http://schemas.microsoft.com/office/drawing/2014/main" id="{A0BDA4AD-0299-4F79-A814-479B2F93DBC0}"/>
            </a:ext>
          </a:extLst>
        </xdr:cNvPr>
        <xdr:cNvSpPr txBox="1"/>
      </xdr:nvSpPr>
      <xdr:spPr>
        <a:xfrm>
          <a:off x="393424" y="5223841"/>
          <a:ext cx="1421848" cy="19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Satisfied</a:t>
          </a:r>
          <a:r>
            <a:rPr lang="en-US" sz="1100" b="1" baseline="0"/>
            <a:t> Customers</a:t>
          </a:r>
        </a:p>
      </xdr:txBody>
    </xdr:sp>
    <xdr:clientData/>
  </xdr:twoCellAnchor>
  <xdr:twoCellAnchor>
    <xdr:from>
      <xdr:col>2</xdr:col>
      <xdr:colOff>304800</xdr:colOff>
      <xdr:row>29</xdr:row>
      <xdr:rowOff>129760</xdr:rowOff>
    </xdr:from>
    <xdr:to>
      <xdr:col>3</xdr:col>
      <xdr:colOff>285750</xdr:colOff>
      <xdr:row>30</xdr:row>
      <xdr:rowOff>174210</xdr:rowOff>
    </xdr:to>
    <xdr:sp macro="" textlink="Sheet3!E8">
      <xdr:nvSpPr>
        <xdr:cNvPr id="37" name="TextBox 36">
          <a:extLst>
            <a:ext uri="{FF2B5EF4-FFF2-40B4-BE49-F238E27FC236}">
              <a16:creationId xmlns:a16="http://schemas.microsoft.com/office/drawing/2014/main" id="{722230A8-034E-4057-A8EC-BCFE38DED45F}"/>
            </a:ext>
          </a:extLst>
        </xdr:cNvPr>
        <xdr:cNvSpPr txBox="1"/>
      </xdr:nvSpPr>
      <xdr:spPr>
        <a:xfrm>
          <a:off x="732735" y="5734325"/>
          <a:ext cx="740189" cy="23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D7AB63-3CAD-491A-963E-7CC2F3CDD292}" type="TxLink">
            <a:rPr lang="en-US" sz="1100" b="1" i="0" u="none" strike="noStrike">
              <a:solidFill>
                <a:srgbClr val="000000"/>
              </a:solidFill>
              <a:latin typeface="Franklin Gothic Book"/>
              <a:ea typeface="+mn-ea"/>
              <a:cs typeface="+mn-cs"/>
            </a:rPr>
            <a:pPr marL="0" indent="0" algn="ctr"/>
            <a:t>74</a:t>
          </a:fld>
          <a:endParaRPr lang="en-US" sz="1100" b="1" i="0" u="none" strike="noStrike">
            <a:solidFill>
              <a:srgbClr val="000000"/>
            </a:solidFill>
            <a:latin typeface="Franklin Gothic Book"/>
            <a:ea typeface="+mn-ea"/>
            <a:cs typeface="+mn-cs"/>
          </a:endParaRPr>
        </a:p>
      </xdr:txBody>
    </xdr:sp>
    <xdr:clientData/>
  </xdr:twoCellAnchor>
  <xdr:twoCellAnchor editAs="oneCell">
    <xdr:from>
      <xdr:col>10</xdr:col>
      <xdr:colOff>581381</xdr:colOff>
      <xdr:row>15</xdr:row>
      <xdr:rowOff>57742</xdr:rowOff>
    </xdr:from>
    <xdr:to>
      <xdr:col>12</xdr:col>
      <xdr:colOff>729074</xdr:colOff>
      <xdr:row>25</xdr:row>
      <xdr:rowOff>0</xdr:rowOff>
    </xdr:to>
    <mc:AlternateContent xmlns:mc="http://schemas.openxmlformats.org/markup-compatibility/2006">
      <mc:Choice xmlns:a14="http://schemas.microsoft.com/office/drawing/2010/main" Requires="a14">
        <xdr:graphicFrame macro="">
          <xdr:nvGraphicFramePr>
            <xdr:cNvPr id="38" name="Representative">
              <a:extLst>
                <a:ext uri="{FF2B5EF4-FFF2-40B4-BE49-F238E27FC236}">
                  <a16:creationId xmlns:a16="http://schemas.microsoft.com/office/drawing/2014/main" id="{B403FA43-7F46-4F97-9BB0-93764071BF7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096011" y="2879964"/>
              <a:ext cx="1668557" cy="1823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46878</xdr:colOff>
      <xdr:row>2</xdr:row>
      <xdr:rowOff>99508</xdr:rowOff>
    </xdr:from>
    <xdr:to>
      <xdr:col>9</xdr:col>
      <xdr:colOff>302257</xdr:colOff>
      <xdr:row>14</xdr:row>
      <xdr:rowOff>73337</xdr:rowOff>
    </xdr:to>
    <xdr:graphicFrame macro="">
      <xdr:nvGraphicFramePr>
        <xdr:cNvPr id="40" name="Chart 39">
          <a:extLst>
            <a:ext uri="{FF2B5EF4-FFF2-40B4-BE49-F238E27FC236}">
              <a16:creationId xmlns:a16="http://schemas.microsoft.com/office/drawing/2014/main" id="{E69574D4-2D39-4BE9-BE44-240879EFB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456406</xdr:colOff>
      <xdr:row>2</xdr:row>
      <xdr:rowOff>112447</xdr:rowOff>
    </xdr:from>
    <xdr:to>
      <xdr:col>12</xdr:col>
      <xdr:colOff>608542</xdr:colOff>
      <xdr:row>14</xdr:row>
      <xdr:rowOff>85989</xdr:rowOff>
    </xdr:to>
    <xdr:graphicFrame macro="">
      <xdr:nvGraphicFramePr>
        <xdr:cNvPr id="41" name="Chart 40">
          <a:extLst>
            <a:ext uri="{FF2B5EF4-FFF2-40B4-BE49-F238E27FC236}">
              <a16:creationId xmlns:a16="http://schemas.microsoft.com/office/drawing/2014/main" id="{0112B2B0-4F8B-493E-A54E-D92464F3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706955</xdr:colOff>
      <xdr:row>15</xdr:row>
      <xdr:rowOff>65683</xdr:rowOff>
    </xdr:from>
    <xdr:to>
      <xdr:col>10</xdr:col>
      <xdr:colOff>459356</xdr:colOff>
      <xdr:row>31</xdr:row>
      <xdr:rowOff>72143</xdr:rowOff>
    </xdr:to>
    <xdr:graphicFrame macro="">
      <xdr:nvGraphicFramePr>
        <xdr:cNvPr id="44" name="Chart 43">
          <a:extLst>
            <a:ext uri="{FF2B5EF4-FFF2-40B4-BE49-F238E27FC236}">
              <a16:creationId xmlns:a16="http://schemas.microsoft.com/office/drawing/2014/main" id="{01D6590E-BFB6-42BB-8DCD-64AFDC924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46302</xdr:colOff>
      <xdr:row>15</xdr:row>
      <xdr:rowOff>66145</xdr:rowOff>
    </xdr:from>
    <xdr:to>
      <xdr:col>7</xdr:col>
      <xdr:colOff>586773</xdr:colOff>
      <xdr:row>31</xdr:row>
      <xdr:rowOff>56266</xdr:rowOff>
    </xdr:to>
    <xdr:graphicFrame macro="">
      <xdr:nvGraphicFramePr>
        <xdr:cNvPr id="45" name="Chart 44">
          <a:extLst>
            <a:ext uri="{FF2B5EF4-FFF2-40B4-BE49-F238E27FC236}">
              <a16:creationId xmlns:a16="http://schemas.microsoft.com/office/drawing/2014/main" id="{CC7F604D-C150-4018-8B06-40B129767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6615</xdr:colOff>
      <xdr:row>2</xdr:row>
      <xdr:rowOff>112448</xdr:rowOff>
    </xdr:from>
    <xdr:to>
      <xdr:col>17</xdr:col>
      <xdr:colOff>489479</xdr:colOff>
      <xdr:row>14</xdr:row>
      <xdr:rowOff>119062</xdr:rowOff>
    </xdr:to>
    <xdr:graphicFrame macro="">
      <xdr:nvGraphicFramePr>
        <xdr:cNvPr id="49" name="Chart 48">
          <a:extLst>
            <a:ext uri="{FF2B5EF4-FFF2-40B4-BE49-F238E27FC236}">
              <a16:creationId xmlns:a16="http://schemas.microsoft.com/office/drawing/2014/main" id="{E1E3F3B7-DB6E-4CDD-84EB-E6A503686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635000</xdr:colOff>
      <xdr:row>2</xdr:row>
      <xdr:rowOff>105833</xdr:rowOff>
    </xdr:from>
    <xdr:to>
      <xdr:col>20</xdr:col>
      <xdr:colOff>374322</xdr:colOff>
      <xdr:row>14</xdr:row>
      <xdr:rowOff>105833</xdr:rowOff>
    </xdr:to>
    <xdr:graphicFrame macro="">
      <xdr:nvGraphicFramePr>
        <xdr:cNvPr id="50" name="Chart 49">
          <a:extLst>
            <a:ext uri="{FF2B5EF4-FFF2-40B4-BE49-F238E27FC236}">
              <a16:creationId xmlns:a16="http://schemas.microsoft.com/office/drawing/2014/main" id="{FA1CB0A7-FE58-4598-B55D-8368DA7A3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126750</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286632</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160130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147581</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134543</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649684490738" backgroundQuery="1" createdVersion="8" refreshedVersion="8" minRefreshableVersion="3" recordCount="0" supportSubquery="1" supportAdvancedDrill="1" xr:uid="{A2796214-B510-4091-A984-8AD6F9D9C02F}">
  <cacheSource type="external" connectionId="1"/>
  <cacheFields count="5">
    <cacheField name="[Measures].[Total calls]" caption="Total calls" numFmtId="0" hierarchy="22" level="32767"/>
    <cacheField name="[Measures].[Total Duration]" caption="Total Duration" numFmtId="0" hierarchy="23" level="32767"/>
    <cacheField name="[Measures].[Total Sales]" caption="Total Sales" numFmtId="0" hierarchy="24" level="32767"/>
    <cacheField name="[Measures].[Average Rating]" caption="Average Rating" numFmtId="0" hierarchy="25" level="32767"/>
    <cacheField name="[Measures].[Total Satisfied Customers]" caption="Total Satisfied Customers" numFmtId="0" hierarchy="26"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Total Sales]" caption="Total Sales"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Total Satisfied Customers]" caption="Total Satisfied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781240393517" backgroundQuery="1" createdVersion="8" refreshedVersion="8" minRefreshableVersion="3" recordCount="0" supportSubquery="1" supportAdvancedDrill="1" xr:uid="{25944CAD-FA4F-4A46-B6FC-E822B516A477}">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Total calls]" caption="Total calls" numFmtId="0" hierarchy="22"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2"/>
      </fieldsUsage>
    </cacheHierarchy>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808337615737" backgroundQuery="1" createdVersion="8" refreshedVersion="8" minRefreshableVersion="3" recordCount="0" supportSubquery="1" supportAdvancedDrill="1" xr:uid="{0CA77210-5DD7-4830-9E13-7D8FC26D1A11}">
  <cacheSource type="external" connectionId="1"/>
  <cacheFields count="4">
    <cacheField name="[calls].[Representative].[Representative]" caption="Representative" numFmtId="0" hierarchy="3" level="1">
      <sharedItems count="5">
        <s v="R01"/>
        <s v="R02"/>
        <s v="R03"/>
        <s v="R04"/>
        <s v="R05"/>
      </sharedItems>
    </cacheField>
    <cacheField name="[Measures].[Total Sales]" caption="Total Sales" numFmtId="0" hierarchy="24"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cacheHierarchy uniqueName="[Measures].[Total Duration]" caption="Total Duration" measure="1" displayFolder="" measureGroup="calls" count="0"/>
    <cacheHierarchy uniqueName="[Measures].[Total Sales]" caption="Total Sales" measure="1" displayFolder="" measureGroup="calls" count="0" oneField="1">
      <fieldsUsage count="1">
        <fieldUsage x="1"/>
      </fieldsUsage>
    </cacheHierarchy>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203704" backgroundQuery="1" createdVersion="8" refreshedVersion="8" minRefreshableVersion="3" recordCount="0" supportSubquery="1" supportAdvancedDrill="1" xr:uid="{2C0BD0DB-083F-4920-943C-7C9604C86B8B}">
  <cacheSource type="external" connectionId="1"/>
  <cacheFields count="6">
    <cacheField name="[Measures].[Total calls]" caption="Total calls" numFmtId="0" hierarchy="22" level="32767"/>
    <cacheField name="[Measures].[Total Duration]" caption="Total Duration" numFmtId="0" hierarchy="23" level="32767"/>
    <cacheField name="[Measures].[Total Sales]" caption="Total Sales" numFmtId="0" hierarchy="24" level="32767"/>
    <cacheField name="[Measures].[Average Rating]" caption="Average Rating" numFmtId="0" hierarchy="25" level="32767"/>
    <cacheField name="[Measures].[Total Satisfied Customers]" caption="Total Satisfied Customers" numFmtId="0" hierarchy="26"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0"/>
      </fieldsUsage>
    </cacheHierarchy>
    <cacheHierarchy uniqueName="[Measures].[Total Duration]" caption="Total Duration" measure="1" displayFolder="" measureGroup="calls" count="0" oneField="1">
      <fieldsUsage count="1">
        <fieldUsage x="1"/>
      </fieldsUsage>
    </cacheHierarchy>
    <cacheHierarchy uniqueName="[Measures].[Total Sales]" caption="Total Sales"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Total Satisfied Customers]" caption="Total Satisfied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2500002" backgroundQuery="1" createdVersion="8" refreshedVersion="8" minRefreshableVersion="3" recordCount="0" supportSubquery="1" supportAdvancedDrill="1" xr:uid="{A81F367D-E35D-4F79-B94B-F62E1F81C844}">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Total calls]" caption="Total calls" numFmtId="0" hierarchy="22"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2"/>
      </fieldsUsage>
    </cacheHierarchy>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3078702" backgroundQuery="1" createdVersion="8" refreshedVersion="8" minRefreshableVersion="3" recordCount="0" supportSubquery="1" supportAdvancedDrill="1" xr:uid="{529A0C08-E113-4F77-B7C1-EF8EA5A9AF33}">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Total calls]" caption="Total calls" numFmtId="0" hierarchy="22"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2"/>
      </fieldsUsage>
    </cacheHierarchy>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3425926" backgroundQuery="1" createdVersion="8" refreshedVersion="8" minRefreshableVersion="3" recordCount="0" supportSubquery="1" supportAdvancedDrill="1" xr:uid="{BBA3BE90-3726-4468-80D6-47D8DF245A4C}">
  <cacheSource type="external" connectionId="1"/>
  <cacheFields count="4">
    <cacheField name="[calls].[Representative].[Representative]" caption="Representative" numFmtId="0" hierarchy="3" level="1">
      <sharedItems count="1">
        <s v="R02"/>
      </sharedItems>
    </cacheField>
    <cacheField name="[calls].[Day of week].[Day of week]" caption="Day of week" numFmtId="0" hierarchy="8" level="1">
      <sharedItems count="7">
        <s v="Friday"/>
        <s v="Monday"/>
        <s v="Saturday"/>
        <s v="Sunday"/>
        <s v="Thursday"/>
        <s v="Tuesday"/>
        <s v="Wednesday"/>
      </sharedItems>
    </cacheField>
    <cacheField name="[Measures].[Total calls]" caption="Total calls" numFmtId="0" hierarchy="22" level="32767"/>
    <cacheField name="[Measures].[Total Duration]" caption="Total Duration" numFmtId="0" hierarchy="23"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3773149" backgroundQuery="1" createdVersion="8" refreshedVersion="8" minRefreshableVersion="3" recordCount="0" supportSubquery="1" supportAdvancedDrill="1" xr:uid="{070E07B1-AACE-48B3-8CEE-B94F8310BA28}">
  <cacheSource type="external" connectionId="1"/>
  <cacheFields count="1">
    <cacheField name="[calls].[Representative].[Representative]" caption="Representative" numFmtId="0" hierarchy="3" level="1">
      <sharedItems count="1">
        <s v="R02"/>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921914236111" backgroundQuery="1" createdVersion="8" refreshedVersion="8" minRefreshableVersion="3" recordCount="0" supportSubquery="1" supportAdvancedDrill="1" xr:uid="{81B92DA9-4C4F-4299-A7B1-91249A9611F2}">
  <cacheSource type="external" connectionId="1"/>
  <cacheFields count="3">
    <cacheField name="[Measures].[Total calls]" caption="Total calls" numFmtId="0" hierarchy="22"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oneField="1">
      <fieldsUsage count="1">
        <fieldUsage x="0"/>
      </fieldsUsage>
    </cacheHierarchy>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gar" refreshedDate="46108.651349074076" backgroundQuery="1" createdVersion="3" refreshedVersion="8" minRefreshableVersion="3" recordCount="0" supportSubquery="1" supportAdvancedDrill="1" xr:uid="{9F4BECEE-25D1-47EF-9A2B-9DC24F8C95E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Satisfaction Rating]" caption="Sum of Satisfaction Rating" measure="1" displayFolder="" measureGroup="calls" count="0">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extLst>
        <ext xmlns:x15="http://schemas.microsoft.com/office/spreadsheetml/2010/11/main" uri="{B97F6D7D-B522-45F9-BDA1-12C45D357490}">
          <x15:cacheHierarchy aggregatedColumn="6"/>
        </ext>
      </extLst>
    </cacheHierarchy>
    <cacheHierarchy uniqueName="[Measures].[Total calls]" caption="Total calls" measure="1" displayFolder="" measureGroup="calls" count="0"/>
    <cacheHierarchy uniqueName="[Measures].[Total Duration]" caption="Total Duration" measure="1" displayFolder="" measureGroup="calls" count="0"/>
    <cacheHierarchy uniqueName="[Measures].[Total Sales]" caption="Total Sales" measure="1" displayFolder="" measureGroup="calls" count="0"/>
    <cacheHierarchy uniqueName="[Measures].[Average Rating]" caption="Average Rating" measure="1" displayFolder="" measureGroup="calls" count="0"/>
    <cacheHierarchy uniqueName="[Measures].[Total Satisfied Customers]" caption="Total Satisfied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04233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2B3CE-311C-41FD-8680-3C0996AD566A}" name="PivotTable16" cacheId="100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58:K77"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126F4-72BF-484D-A581-012C9B3BAA6C}" name="Rep satisfaction" cacheId="13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48:F5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2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5281B-FABC-4E3B-A51B-295125044AFD}" name="PivotTable14" cacheId="7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38:H4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651E7A-371F-4433-8479-5BBDA1C3BE66}" name="selected rep" cacheId="130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0:A4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62693-4F30-4EE3-8BA1-B4938E54D2F4}" name="PivotTable10" cacheId="1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28:F30" firstHeaderRow="0" firstDataRow="1" firstDataCol="1"/>
  <pivotFields count="4">
    <pivotField axis="axisRow" allDrilled="1" subtotalTop="0" showAll="0" dataSourceSort="1" defaultSubtotal="0" defaultAttributeDrillState="1">
      <items count="1">
        <item s="1" x="0"/>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2" subtotal="count" baseField="0" baseItem="0"/>
    <dataField fld="3"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242CC-86BA-47E8-B82F-E9ABE648BD4A}" name="Week pivot" cacheId="12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8:B3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22A9DB-3520-41BB-AD0F-D27CDE928237}" name="Month pivot" cacheId="12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C24"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Total calls2" fld="3" subtotal="count" baseField="0" baseItem="0">
      <extLst>
        <ext xmlns:x14="http://schemas.microsoft.com/office/spreadsheetml/2009/9/main" uri="{E15A36E0-9728-4e99-A89B-3F7291B0FE68}">
          <x14:dataField sourceField="2" uniqueName="[__Xl2].[Measures].[Total calls]"/>
        </ext>
      </extLst>
    </dataField>
  </dataFields>
  <chartFormats count="2">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765371-AB91-4D20-9756-B6BAD74EDDF0}" name="Rep summary" cacheId="1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128AD3-336F-4EC9-AADB-24B05225E5CE}" name="Summary Pivot" cacheId="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AE5251F-1CA9-4F32-A8D5-BBA25AEEB973}" sourceName="[calls].[Representative]">
  <pivotTables>
    <pivotTable tabId="7" name="Rep summary"/>
    <pivotTable tabId="7" name="Month pivot"/>
    <pivotTable tabId="7" name="Week pivot"/>
    <pivotTable tabId="7" name="PivotTable10"/>
    <pivotTable tabId="7" name="selected rep"/>
    <pivotTable tabId="7" name="Rep satisfaction"/>
  </pivotTables>
  <data>
    <olap pivotCacheId="199042332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4D433AD-B440-470D-8E8E-18061EC62C0B}" cache="Slicer_Representative" caption="Representativ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A0E8-96C4-448A-8096-159DFCFA1E8C}">
  <dimension ref="A1:AA44"/>
  <sheetViews>
    <sheetView tabSelected="1" zoomScale="81" workbookViewId="0">
      <selection activeCell="L36" sqref="L36"/>
    </sheetView>
  </sheetViews>
  <sheetFormatPr defaultRowHeight="15" x14ac:dyDescent="0.4"/>
  <cols>
    <col min="1" max="1" width="2.765625" customWidth="1"/>
    <col min="2" max="2" width="2.4609375" customWidth="1"/>
  </cols>
  <sheetData>
    <row r="1" spans="1:27" x14ac:dyDescent="0.4">
      <c r="A1" s="20"/>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x14ac:dyDescent="0.4">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4">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x14ac:dyDescent="0.4">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x14ac:dyDescent="0.4">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x14ac:dyDescent="0.4">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x14ac:dyDescent="0.4">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x14ac:dyDescent="0.4">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x14ac:dyDescent="0.4">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x14ac:dyDescent="0.4">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x14ac:dyDescent="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x14ac:dyDescent="0.4">
      <c r="A12" s="20"/>
      <c r="B12" s="20"/>
      <c r="C12" s="20"/>
      <c r="D12" s="20"/>
      <c r="E12" s="29"/>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x14ac:dyDescent="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x14ac:dyDescent="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x14ac:dyDescent="0.4">
      <c r="A17" s="20"/>
      <c r="B17" s="20"/>
      <c r="C17" s="20"/>
      <c r="D17" s="20"/>
      <c r="E17" s="20"/>
      <c r="F17" s="20"/>
      <c r="G17" s="20"/>
      <c r="H17" s="20"/>
      <c r="I17" s="20"/>
      <c r="J17" s="20"/>
      <c r="K17" s="20"/>
      <c r="L17" s="20"/>
      <c r="M17" s="20"/>
      <c r="N17" s="20"/>
      <c r="O17" s="33" t="s">
        <v>11</v>
      </c>
      <c r="P17" s="33" t="s">
        <v>9</v>
      </c>
      <c r="Q17" s="33" t="s">
        <v>6</v>
      </c>
      <c r="R17" s="33" t="s">
        <v>13</v>
      </c>
      <c r="S17" s="34" t="s">
        <v>10</v>
      </c>
      <c r="T17" s="34" t="s">
        <v>1050</v>
      </c>
      <c r="U17" s="20"/>
      <c r="V17" s="20"/>
      <c r="W17" s="20"/>
      <c r="X17" s="20"/>
      <c r="Y17" s="20"/>
      <c r="Z17" s="20"/>
      <c r="AA17" s="20"/>
    </row>
    <row r="18" spans="1:27" x14ac:dyDescent="0.4">
      <c r="A18" s="20"/>
      <c r="B18" s="20"/>
      <c r="C18" s="20"/>
      <c r="D18" s="20"/>
      <c r="E18" s="20"/>
      <c r="F18" s="20"/>
      <c r="G18" s="20"/>
      <c r="H18" s="20"/>
      <c r="I18" s="20"/>
      <c r="J18" s="20"/>
      <c r="K18" s="20"/>
      <c r="L18" s="20"/>
      <c r="M18" s="20"/>
      <c r="N18" s="31" t="str" cm="1">
        <f t="array" ref="N18:T35">IF(Sheet3!E60:K77="","",Sheet3!E60:K77)</f>
        <v>Cincinnati</v>
      </c>
      <c r="O18" s="20" t="str">
        <v/>
      </c>
      <c r="P18" s="20" t="str">
        <v/>
      </c>
      <c r="Q18" s="20" t="str">
        <v/>
      </c>
      <c r="R18" s="20" t="str">
        <v/>
      </c>
      <c r="S18" s="20" t="str">
        <v/>
      </c>
      <c r="T18" s="20" t="str">
        <v/>
      </c>
      <c r="U18" s="20"/>
      <c r="V18" s="20"/>
      <c r="W18" s="20"/>
      <c r="X18" s="20"/>
      <c r="Y18" s="20"/>
      <c r="Z18" s="20"/>
      <c r="AA18" s="20"/>
    </row>
    <row r="19" spans="1:27" x14ac:dyDescent="0.4">
      <c r="A19" s="20"/>
      <c r="B19" s="20"/>
      <c r="C19" s="20"/>
      <c r="D19" s="20"/>
      <c r="E19" s="20"/>
      <c r="F19" s="20"/>
      <c r="G19" s="20"/>
      <c r="H19" s="20"/>
      <c r="I19" s="20"/>
      <c r="J19" s="20"/>
      <c r="K19" s="20"/>
      <c r="L19" s="20"/>
      <c r="M19" s="20"/>
      <c r="N19" s="31" t="str">
        <v>C0003</v>
      </c>
      <c r="O19" s="32">
        <v>891</v>
      </c>
      <c r="P19" s="32">
        <v>1332</v>
      </c>
      <c r="Q19" s="32">
        <v>1282</v>
      </c>
      <c r="R19" s="32">
        <v>739</v>
      </c>
      <c r="S19" s="32">
        <v>560</v>
      </c>
      <c r="T19" s="32">
        <v>4804</v>
      </c>
      <c r="U19" s="20"/>
      <c r="V19" s="20"/>
      <c r="W19" s="20"/>
      <c r="X19" s="20"/>
      <c r="Y19" s="20"/>
      <c r="Z19" s="20"/>
      <c r="AA19" s="20"/>
    </row>
    <row r="20" spans="1:27" x14ac:dyDescent="0.4">
      <c r="A20" s="20"/>
      <c r="B20" s="20"/>
      <c r="C20" s="20"/>
      <c r="D20" s="20"/>
      <c r="E20" s="20"/>
      <c r="F20" s="20"/>
      <c r="G20" s="20"/>
      <c r="H20" s="20"/>
      <c r="I20" s="20"/>
      <c r="J20" s="20"/>
      <c r="K20" s="20"/>
      <c r="L20" s="20"/>
      <c r="M20" s="20"/>
      <c r="N20" s="31" t="str">
        <v>C0004</v>
      </c>
      <c r="O20" s="32">
        <v>1991</v>
      </c>
      <c r="P20" s="32">
        <v>1886</v>
      </c>
      <c r="Q20" s="32">
        <v>1206</v>
      </c>
      <c r="R20" s="32">
        <v>884</v>
      </c>
      <c r="S20" s="32">
        <v>1722</v>
      </c>
      <c r="T20" s="32">
        <v>7689</v>
      </c>
      <c r="U20" s="20"/>
      <c r="V20" s="20"/>
      <c r="W20" s="20"/>
      <c r="X20" s="20"/>
      <c r="Y20" s="20"/>
      <c r="Z20" s="20"/>
      <c r="AA20" s="20"/>
    </row>
    <row r="21" spans="1:27" x14ac:dyDescent="0.4">
      <c r="A21" s="20"/>
      <c r="B21" s="20"/>
      <c r="C21" s="20"/>
      <c r="D21" s="20"/>
      <c r="E21" s="20"/>
      <c r="F21" s="20"/>
      <c r="G21" s="20"/>
      <c r="H21" s="20"/>
      <c r="I21" s="20"/>
      <c r="J21" s="20"/>
      <c r="K21" s="20"/>
      <c r="L21" s="20"/>
      <c r="M21" s="20"/>
      <c r="N21" s="31" t="str">
        <v>C0011</v>
      </c>
      <c r="O21" s="32">
        <v>1163</v>
      </c>
      <c r="P21" s="32">
        <v>1180</v>
      </c>
      <c r="Q21" s="32">
        <v>1616</v>
      </c>
      <c r="R21" s="32">
        <v>1043</v>
      </c>
      <c r="S21" s="32">
        <v>1747</v>
      </c>
      <c r="T21" s="32">
        <v>6749</v>
      </c>
      <c r="U21" s="20"/>
      <c r="V21" s="20"/>
      <c r="W21" s="20"/>
      <c r="X21" s="20"/>
      <c r="Y21" s="20"/>
      <c r="Z21" s="20"/>
      <c r="AA21" s="20"/>
    </row>
    <row r="22" spans="1:27" x14ac:dyDescent="0.4">
      <c r="A22" s="20"/>
      <c r="B22" s="20"/>
      <c r="C22" s="20"/>
      <c r="D22" s="20"/>
      <c r="E22" s="20"/>
      <c r="F22" s="20"/>
      <c r="G22" s="20"/>
      <c r="H22" s="20"/>
      <c r="I22" s="20"/>
      <c r="J22" s="20"/>
      <c r="K22" s="20"/>
      <c r="L22" s="20"/>
      <c r="M22" s="20"/>
      <c r="N22" s="31" t="str">
        <v>C0012</v>
      </c>
      <c r="O22" s="32">
        <v>1438</v>
      </c>
      <c r="P22" s="32">
        <v>1616</v>
      </c>
      <c r="Q22" s="32">
        <v>866</v>
      </c>
      <c r="R22" s="32">
        <v>829</v>
      </c>
      <c r="S22" s="32">
        <v>2070</v>
      </c>
      <c r="T22" s="32">
        <v>6819</v>
      </c>
      <c r="U22" s="20"/>
      <c r="V22" s="20"/>
      <c r="W22" s="20"/>
      <c r="X22" s="20"/>
      <c r="Y22" s="20"/>
      <c r="Z22" s="20"/>
      <c r="AA22" s="20"/>
    </row>
    <row r="23" spans="1:27" x14ac:dyDescent="0.4">
      <c r="A23" s="20"/>
      <c r="B23" s="20"/>
      <c r="C23" s="20"/>
      <c r="D23" s="20"/>
      <c r="E23" s="20"/>
      <c r="F23" s="20"/>
      <c r="G23" s="20"/>
      <c r="H23" s="20"/>
      <c r="I23" s="20"/>
      <c r="J23" s="20"/>
      <c r="K23" s="20"/>
      <c r="L23" s="20"/>
      <c r="M23" s="20"/>
      <c r="N23" s="31" t="str">
        <v>Cleveland</v>
      </c>
      <c r="O23" s="32" t="str">
        <v/>
      </c>
      <c r="P23" s="32" t="str">
        <v/>
      </c>
      <c r="Q23" s="32" t="str">
        <v/>
      </c>
      <c r="R23" s="32" t="str">
        <v/>
      </c>
      <c r="S23" s="32" t="str">
        <v/>
      </c>
      <c r="T23" s="32" t="str">
        <v/>
      </c>
      <c r="U23" s="20"/>
      <c r="V23" s="20"/>
      <c r="W23" s="20"/>
      <c r="X23" s="20"/>
      <c r="Y23" s="20"/>
      <c r="Z23" s="20"/>
    </row>
    <row r="24" spans="1:27" x14ac:dyDescent="0.4">
      <c r="A24" s="20"/>
      <c r="B24" s="20"/>
      <c r="C24" s="20"/>
      <c r="D24" s="20"/>
      <c r="E24" s="20"/>
      <c r="F24" s="20"/>
      <c r="G24" s="20"/>
      <c r="H24" s="20"/>
      <c r="I24" s="20"/>
      <c r="J24" s="20"/>
      <c r="K24" s="20"/>
      <c r="L24" s="20"/>
      <c r="M24" s="20"/>
      <c r="N24" s="31" t="str">
        <v>C0002</v>
      </c>
      <c r="O24" s="32">
        <v>1233</v>
      </c>
      <c r="P24" s="32">
        <v>223</v>
      </c>
      <c r="Q24" s="32">
        <v>1680</v>
      </c>
      <c r="R24" s="32">
        <v>990</v>
      </c>
      <c r="S24" s="32">
        <v>1508</v>
      </c>
      <c r="T24" s="32">
        <v>5634</v>
      </c>
      <c r="U24" s="20"/>
      <c r="V24" s="20"/>
      <c r="W24" s="20"/>
      <c r="X24" s="20"/>
      <c r="Y24" s="20"/>
      <c r="Z24" s="20"/>
    </row>
    <row r="25" spans="1:27" x14ac:dyDescent="0.4">
      <c r="A25" s="20"/>
      <c r="B25" s="20"/>
      <c r="C25" s="20"/>
      <c r="D25" s="20"/>
      <c r="E25" s="20"/>
      <c r="F25" s="20"/>
      <c r="G25" s="20"/>
      <c r="H25" s="20"/>
      <c r="I25" s="20"/>
      <c r="J25" s="20"/>
      <c r="K25" s="20"/>
      <c r="L25" s="20"/>
      <c r="M25" s="20"/>
      <c r="N25" s="31" t="str">
        <v>C0007</v>
      </c>
      <c r="O25" s="32">
        <v>1598</v>
      </c>
      <c r="P25" s="32">
        <v>1907</v>
      </c>
      <c r="Q25" s="32">
        <v>869</v>
      </c>
      <c r="R25" s="32">
        <v>1426</v>
      </c>
      <c r="S25" s="32">
        <v>1416</v>
      </c>
      <c r="T25" s="32">
        <v>7216</v>
      </c>
      <c r="U25" s="20"/>
      <c r="V25" s="20"/>
      <c r="W25" s="20"/>
      <c r="X25" s="20"/>
      <c r="Y25" s="20"/>
      <c r="Z25" s="20"/>
    </row>
    <row r="26" spans="1:27" x14ac:dyDescent="0.4">
      <c r="A26" s="20"/>
      <c r="B26" s="20"/>
      <c r="C26" s="20"/>
      <c r="D26" s="20"/>
      <c r="E26" s="20"/>
      <c r="F26" s="20"/>
      <c r="G26" s="20"/>
      <c r="H26" s="20"/>
      <c r="I26" s="20"/>
      <c r="J26" s="20"/>
      <c r="K26" s="20"/>
      <c r="L26" s="20"/>
      <c r="M26" s="20"/>
      <c r="N26" s="31" t="str">
        <v>C0008</v>
      </c>
      <c r="O26" s="32">
        <v>900</v>
      </c>
      <c r="P26" s="32">
        <v>1016</v>
      </c>
      <c r="Q26" s="32">
        <v>960</v>
      </c>
      <c r="R26" s="32">
        <v>940</v>
      </c>
      <c r="S26" s="32">
        <v>1193</v>
      </c>
      <c r="T26" s="32">
        <v>5009</v>
      </c>
      <c r="U26" s="20"/>
      <c r="V26" s="20"/>
      <c r="W26" s="20"/>
      <c r="X26" s="20"/>
      <c r="Y26" s="20"/>
      <c r="Z26" s="20"/>
    </row>
    <row r="27" spans="1:27" x14ac:dyDescent="0.4">
      <c r="A27" s="20"/>
      <c r="B27" s="20"/>
      <c r="C27" s="20"/>
      <c r="D27" s="20"/>
      <c r="E27" s="20"/>
      <c r="F27" s="20"/>
      <c r="G27" s="20"/>
      <c r="H27" s="20"/>
      <c r="I27" s="20"/>
      <c r="J27" s="20"/>
      <c r="K27" s="20"/>
      <c r="L27" s="20"/>
      <c r="M27" s="20"/>
      <c r="N27" s="31" t="str">
        <v>C0010</v>
      </c>
      <c r="O27" s="32">
        <v>900</v>
      </c>
      <c r="P27" s="32">
        <v>1470</v>
      </c>
      <c r="Q27" s="32">
        <v>1617</v>
      </c>
      <c r="R27" s="32">
        <v>1314</v>
      </c>
      <c r="S27" s="32">
        <v>941</v>
      </c>
      <c r="T27" s="32">
        <v>6242</v>
      </c>
      <c r="U27" s="20"/>
      <c r="V27" s="20"/>
      <c r="W27" s="20"/>
      <c r="X27" s="20"/>
      <c r="Y27" s="20"/>
      <c r="Z27" s="20"/>
    </row>
    <row r="28" spans="1:27" x14ac:dyDescent="0.4">
      <c r="A28" s="20"/>
      <c r="B28" s="20"/>
      <c r="C28" s="20"/>
      <c r="D28" s="20"/>
      <c r="E28" s="20"/>
      <c r="F28" s="20"/>
      <c r="G28" s="20"/>
      <c r="H28" s="20"/>
      <c r="I28" s="20"/>
      <c r="J28" s="20"/>
      <c r="K28" s="20"/>
      <c r="L28" s="20"/>
      <c r="M28" s="20"/>
      <c r="N28" s="31" t="str">
        <v>C0013</v>
      </c>
      <c r="O28" s="32">
        <v>1255</v>
      </c>
      <c r="P28" s="32">
        <v>516</v>
      </c>
      <c r="Q28" s="32">
        <v>1874</v>
      </c>
      <c r="R28" s="32">
        <v>1863</v>
      </c>
      <c r="S28" s="32">
        <v>1722</v>
      </c>
      <c r="T28" s="32">
        <v>7230</v>
      </c>
      <c r="U28" s="20"/>
      <c r="V28" s="20"/>
      <c r="W28" s="20"/>
      <c r="X28" s="20"/>
      <c r="Y28" s="20"/>
      <c r="Z28" s="20"/>
    </row>
    <row r="29" spans="1:27" x14ac:dyDescent="0.4">
      <c r="A29" s="20"/>
      <c r="B29" s="20"/>
      <c r="C29" s="20"/>
      <c r="D29" s="20"/>
      <c r="E29" s="20"/>
      <c r="F29" s="20"/>
      <c r="G29" s="20"/>
      <c r="H29" s="20"/>
      <c r="I29" s="20"/>
      <c r="J29" s="20"/>
      <c r="K29" s="20"/>
      <c r="L29" s="20"/>
      <c r="M29" s="20"/>
      <c r="N29" s="31" t="str">
        <v>C0015</v>
      </c>
      <c r="O29" s="32">
        <v>1138</v>
      </c>
      <c r="P29" s="32">
        <v>1898</v>
      </c>
      <c r="Q29" s="32">
        <v>1482</v>
      </c>
      <c r="R29" s="32">
        <v>846</v>
      </c>
      <c r="S29" s="32">
        <v>1154</v>
      </c>
      <c r="T29" s="32">
        <v>6518</v>
      </c>
      <c r="U29" s="20"/>
      <c r="V29" s="20"/>
      <c r="W29" s="20"/>
      <c r="X29" s="20"/>
      <c r="Y29" s="20"/>
      <c r="Z29" s="20"/>
    </row>
    <row r="30" spans="1:27" x14ac:dyDescent="0.4">
      <c r="A30" s="20"/>
      <c r="B30" s="20"/>
      <c r="C30" s="20"/>
      <c r="D30" s="20"/>
      <c r="E30" s="20"/>
      <c r="F30" s="20"/>
      <c r="G30" s="20"/>
      <c r="H30" s="20"/>
      <c r="I30" s="20"/>
      <c r="J30" s="20"/>
      <c r="K30" s="20"/>
      <c r="L30" s="20"/>
      <c r="M30" s="20"/>
      <c r="N30" s="31" t="str">
        <v>Columbus</v>
      </c>
      <c r="O30" s="32" t="str">
        <v/>
      </c>
      <c r="P30" s="32" t="str">
        <v/>
      </c>
      <c r="Q30" s="32" t="str">
        <v/>
      </c>
      <c r="R30" s="32" t="str">
        <v/>
      </c>
      <c r="S30" s="32" t="str">
        <v/>
      </c>
      <c r="T30" s="32" t="str">
        <v/>
      </c>
      <c r="U30" s="20"/>
      <c r="V30" s="20"/>
      <c r="W30" s="20"/>
      <c r="X30" s="20"/>
      <c r="Y30" s="20"/>
      <c r="Z30" s="20"/>
    </row>
    <row r="31" spans="1:27" x14ac:dyDescent="0.4">
      <c r="A31" s="20"/>
      <c r="B31" s="20"/>
      <c r="C31" s="20"/>
      <c r="D31" s="20"/>
      <c r="E31" s="20"/>
      <c r="F31" s="20"/>
      <c r="G31" s="20"/>
      <c r="H31" s="20"/>
      <c r="I31" s="20"/>
      <c r="J31" s="20"/>
      <c r="K31" s="20"/>
      <c r="L31" s="20"/>
      <c r="M31" s="20"/>
      <c r="N31" s="31" t="str">
        <v>C0001</v>
      </c>
      <c r="O31" s="32">
        <v>1655</v>
      </c>
      <c r="P31" s="32">
        <v>805</v>
      </c>
      <c r="Q31" s="32">
        <v>2263</v>
      </c>
      <c r="R31" s="32">
        <v>987</v>
      </c>
      <c r="S31" s="32">
        <v>1075</v>
      </c>
      <c r="T31" s="32">
        <v>6785</v>
      </c>
      <c r="U31" s="20"/>
      <c r="V31" s="20"/>
      <c r="W31" s="20"/>
      <c r="X31" s="20"/>
      <c r="Y31" s="20"/>
      <c r="Z31" s="20"/>
    </row>
    <row r="32" spans="1:27" x14ac:dyDescent="0.4">
      <c r="A32" s="20"/>
      <c r="B32" s="20"/>
      <c r="C32" s="20"/>
      <c r="D32" s="20"/>
      <c r="E32" s="20"/>
      <c r="F32" s="20"/>
      <c r="G32" s="20"/>
      <c r="H32" s="20"/>
      <c r="I32" s="20"/>
      <c r="J32" s="20"/>
      <c r="K32" s="20"/>
      <c r="L32" s="20"/>
      <c r="M32" s="20"/>
      <c r="N32" s="31" t="str">
        <v>C0005</v>
      </c>
      <c r="O32" s="32">
        <v>1104</v>
      </c>
      <c r="P32" s="32">
        <v>2280</v>
      </c>
      <c r="Q32" s="32">
        <v>1445</v>
      </c>
      <c r="R32" s="32">
        <v>1722</v>
      </c>
      <c r="S32" s="32">
        <v>1196</v>
      </c>
      <c r="T32" s="32">
        <v>7747</v>
      </c>
      <c r="U32" s="20"/>
      <c r="V32" s="20"/>
      <c r="W32" s="20"/>
      <c r="X32" s="20"/>
      <c r="Y32" s="20"/>
      <c r="Z32" s="20"/>
    </row>
    <row r="33" spans="1:26" x14ac:dyDescent="0.4">
      <c r="A33" s="20"/>
      <c r="B33" s="20"/>
      <c r="C33" s="20"/>
      <c r="D33" s="20"/>
      <c r="E33" s="20"/>
      <c r="F33" s="20"/>
      <c r="G33" s="20"/>
      <c r="H33" s="20"/>
      <c r="I33" s="20"/>
      <c r="J33" s="20"/>
      <c r="K33" s="20"/>
      <c r="L33" s="20"/>
      <c r="M33" s="20"/>
      <c r="N33" s="31" t="str">
        <v>C0006</v>
      </c>
      <c r="O33" s="32">
        <v>372</v>
      </c>
      <c r="P33" s="32">
        <v>1818</v>
      </c>
      <c r="Q33" s="32">
        <v>1346</v>
      </c>
      <c r="R33" s="32">
        <v>1156</v>
      </c>
      <c r="S33" s="32">
        <v>1484</v>
      </c>
      <c r="T33" s="32">
        <v>6176</v>
      </c>
      <c r="U33" s="20"/>
      <c r="V33" s="20"/>
      <c r="W33" s="20"/>
      <c r="X33" s="20"/>
      <c r="Y33" s="20"/>
      <c r="Z33" s="20"/>
    </row>
    <row r="34" spans="1:26" x14ac:dyDescent="0.4">
      <c r="A34" s="20"/>
      <c r="B34" s="20"/>
      <c r="C34" s="20"/>
      <c r="D34" s="20"/>
      <c r="E34" s="20"/>
      <c r="F34" s="20"/>
      <c r="G34" s="20"/>
      <c r="H34" s="20"/>
      <c r="I34" s="20"/>
      <c r="J34" s="20"/>
      <c r="K34" s="20"/>
      <c r="L34" s="20"/>
      <c r="M34" s="20"/>
      <c r="N34" s="31" t="str">
        <v>C0009</v>
      </c>
      <c r="O34" s="32">
        <v>1415</v>
      </c>
      <c r="P34" s="32">
        <v>1271</v>
      </c>
      <c r="Q34" s="32">
        <v>1214</v>
      </c>
      <c r="R34" s="32">
        <v>1135</v>
      </c>
      <c r="S34" s="32">
        <v>1566</v>
      </c>
      <c r="T34" s="32">
        <v>6601</v>
      </c>
      <c r="U34" s="20"/>
      <c r="V34" s="20"/>
      <c r="W34" s="20"/>
      <c r="X34" s="20"/>
      <c r="Y34" s="20"/>
      <c r="Z34" s="20"/>
    </row>
    <row r="35" spans="1:26" x14ac:dyDescent="0.4">
      <c r="A35" s="20"/>
      <c r="B35" s="20"/>
      <c r="C35" s="20"/>
      <c r="D35" s="20"/>
      <c r="E35" s="20"/>
      <c r="F35" s="20"/>
      <c r="G35" s="20"/>
      <c r="H35" s="20"/>
      <c r="I35" s="20"/>
      <c r="J35" s="20"/>
      <c r="K35" s="20"/>
      <c r="L35" s="20"/>
      <c r="M35" s="20"/>
      <c r="N35" s="31" t="str">
        <v>C0014</v>
      </c>
      <c r="O35" s="32">
        <v>1362</v>
      </c>
      <c r="P35" s="32">
        <v>1363</v>
      </c>
      <c r="Q35" s="32">
        <v>1152</v>
      </c>
      <c r="R35" s="32">
        <v>777</v>
      </c>
      <c r="S35" s="32">
        <v>750</v>
      </c>
      <c r="T35" s="32">
        <v>5404</v>
      </c>
      <c r="U35" s="20"/>
      <c r="V35" s="20"/>
      <c r="W35" s="20"/>
      <c r="X35" s="20"/>
      <c r="Y35" s="20"/>
      <c r="Z35" s="20"/>
    </row>
    <row r="36" spans="1:26" x14ac:dyDescent="0.4">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4">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4">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4">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4">
      <c r="M40" s="20"/>
      <c r="N40" s="20"/>
      <c r="O40" s="20"/>
      <c r="P40" s="20"/>
      <c r="Q40" s="20"/>
      <c r="R40" s="20"/>
      <c r="S40" s="20"/>
      <c r="T40" s="20"/>
      <c r="U40" s="20"/>
      <c r="V40" s="20"/>
      <c r="W40" s="20"/>
      <c r="X40" s="20"/>
      <c r="Y40" s="20"/>
    </row>
    <row r="41" spans="1:26" x14ac:dyDescent="0.4">
      <c r="M41" s="20"/>
      <c r="N41" s="20"/>
      <c r="O41" s="20"/>
      <c r="P41" s="20"/>
      <c r="Q41" s="20"/>
      <c r="R41" s="20"/>
      <c r="S41" s="20"/>
      <c r="T41" s="20"/>
      <c r="U41" s="20"/>
      <c r="V41" s="20"/>
      <c r="W41" s="20"/>
      <c r="X41" s="20"/>
      <c r="Y41" s="20"/>
    </row>
    <row r="42" spans="1:26" x14ac:dyDescent="0.4">
      <c r="T42" s="20"/>
      <c r="U42" s="20"/>
      <c r="V42" s="20"/>
      <c r="W42" s="20"/>
      <c r="X42" s="20"/>
      <c r="Y42" s="20"/>
    </row>
    <row r="43" spans="1:26" x14ac:dyDescent="0.4">
      <c r="T43" s="20"/>
      <c r="U43" s="20"/>
      <c r="V43" s="20"/>
      <c r="W43" s="20"/>
      <c r="X43" s="20"/>
      <c r="Y43" s="20"/>
    </row>
    <row r="44" spans="1:26" x14ac:dyDescent="0.4">
      <c r="T44" s="20"/>
      <c r="U44" s="20"/>
      <c r="V44" s="20"/>
      <c r="W44" s="20"/>
      <c r="X44" s="20"/>
      <c r="Y44" s="20"/>
    </row>
  </sheetData>
  <conditionalFormatting sqref="O19:T35">
    <cfRule type="dataBar" priority="2">
      <dataBar>
        <cfvo type="num" val="0"/>
        <cfvo type="formula" val="MAX($O$19:$S$35)*2"/>
        <color theme="4" tint="-0.249977111117893"/>
      </dataBar>
      <extLst>
        <ext xmlns:x14="http://schemas.microsoft.com/office/spreadsheetml/2009/9/main" uri="{B025F937-C7B1-47D3-B67F-A62EFF666E3E}">
          <x14:id>{6B04F878-AAB9-4583-8054-39FD158DC878}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B04F878-AAB9-4583-8054-39FD158DC878}">
            <x14:dataBar minLength="0" maxLength="100" gradient="0">
              <x14:cfvo type="num">
                <xm:f>0</xm:f>
              </x14:cfvo>
              <x14:cfvo type="formula">
                <xm:f>MAX($O$19:$S$35)*2</xm:f>
              </x14:cfvo>
              <x14:negativeFillColor rgb="FFFF0000"/>
              <x14:axisColor rgb="FF000000"/>
            </x14:dataBar>
          </x14:cfRule>
          <xm:sqref>O19:T35</xm:sqref>
        </x14:conditionalFormatting>
        <x14:conditionalFormatting xmlns:xm="http://schemas.microsoft.com/office/excel/2006/main">
          <x14:cfRule type="expression" priority="1" id="{BFC93A9E-E2E7-40F8-BDF8-7A253C240DFF}">
            <xm:f>O$17=Sheet3!$A$41</xm:f>
            <x14:dxf>
              <fill>
                <patternFill>
                  <bgColor theme="4" tint="0.59996337778862885"/>
                </patternFill>
              </fill>
            </x14:dxf>
          </x14:cfRule>
          <xm:sqref>O17:S35</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6CEF-DBF0-40B1-A79D-FF2736EE804A}">
  <dimension ref="A3:L77"/>
  <sheetViews>
    <sheetView topLeftCell="A37" zoomScale="103" workbookViewId="0">
      <selection activeCell="L49" sqref="L49"/>
    </sheetView>
  </sheetViews>
  <sheetFormatPr defaultRowHeight="15" x14ac:dyDescent="0.4"/>
  <cols>
    <col min="1" max="1" width="11.69140625" bestFit="1" customWidth="1"/>
    <col min="2" max="2" width="8.921875" bestFit="1" customWidth="1"/>
    <col min="3" max="3" width="10" bestFit="1" customWidth="1"/>
    <col min="4" max="5" width="11.69140625" bestFit="1" customWidth="1"/>
    <col min="6" max="6" width="8.921875" bestFit="1" customWidth="1"/>
    <col min="7" max="10" width="6.3046875" bestFit="1" customWidth="1"/>
    <col min="11" max="11" width="10.07421875" bestFit="1" customWidth="1"/>
    <col min="12" max="12" width="6.765625" bestFit="1" customWidth="1"/>
    <col min="13" max="13" width="6.23046875" bestFit="1" customWidth="1"/>
    <col min="14" max="14" width="6.765625" bestFit="1" customWidth="1"/>
    <col min="15" max="15" width="6.23046875" bestFit="1" customWidth="1"/>
    <col min="16" max="20" width="6.765625" bestFit="1" customWidth="1"/>
    <col min="21" max="22" width="6.23046875" bestFit="1" customWidth="1"/>
    <col min="23" max="32" width="6.765625" bestFit="1" customWidth="1"/>
    <col min="33" max="33" width="6.23046875" bestFit="1" customWidth="1"/>
    <col min="34" max="41" width="6.765625" bestFit="1" customWidth="1"/>
    <col min="42" max="43" width="6.23046875" bestFit="1" customWidth="1"/>
    <col min="44" max="46" width="6.765625" bestFit="1" customWidth="1"/>
    <col min="47" max="47" width="6.23046875" bestFit="1" customWidth="1"/>
    <col min="48" max="50" width="6.765625" bestFit="1" customWidth="1"/>
    <col min="51" max="54" width="6.23046875" bestFit="1" customWidth="1"/>
    <col min="55" max="57" width="6.765625" bestFit="1" customWidth="1"/>
    <col min="58" max="58" width="6.23046875" bestFit="1" customWidth="1"/>
    <col min="59" max="61" width="6.765625" bestFit="1" customWidth="1"/>
    <col min="62" max="62" width="6.23046875" bestFit="1" customWidth="1"/>
    <col min="63" max="63" width="6.765625" bestFit="1" customWidth="1"/>
    <col min="64" max="65" width="6.23046875" bestFit="1" customWidth="1"/>
    <col min="66" max="67" width="6.765625" bestFit="1" customWidth="1"/>
    <col min="68" max="68" width="6.23046875" bestFit="1" customWidth="1"/>
    <col min="69" max="74" width="6.765625" bestFit="1" customWidth="1"/>
    <col min="75" max="75" width="6.23046875" bestFit="1" customWidth="1"/>
    <col min="76" max="78" width="6.765625" bestFit="1" customWidth="1"/>
    <col min="79" max="79" width="6.23046875" bestFit="1" customWidth="1"/>
    <col min="80" max="80" width="6.765625" bestFit="1" customWidth="1"/>
    <col min="81" max="81" width="10.07421875" bestFit="1" customWidth="1"/>
  </cols>
  <sheetData>
    <row r="3" spans="1:5" x14ac:dyDescent="0.4">
      <c r="A3" t="s">
        <v>1064</v>
      </c>
      <c r="B3" t="s">
        <v>1065</v>
      </c>
      <c r="C3" t="s">
        <v>1066</v>
      </c>
      <c r="D3" t="s">
        <v>1067</v>
      </c>
      <c r="E3" t="s">
        <v>1068</v>
      </c>
    </row>
    <row r="4" spans="1:5" x14ac:dyDescent="0.4">
      <c r="A4" s="26">
        <v>1000</v>
      </c>
      <c r="B4" s="26">
        <v>89850</v>
      </c>
      <c r="C4" s="25">
        <v>96623</v>
      </c>
      <c r="D4" s="28">
        <v>3.8854000000000033</v>
      </c>
      <c r="E4" s="27">
        <v>307</v>
      </c>
    </row>
    <row r="7" spans="1:5" x14ac:dyDescent="0.4">
      <c r="A7" t="s">
        <v>1064</v>
      </c>
      <c r="B7" t="s">
        <v>1065</v>
      </c>
      <c r="C7" t="s">
        <v>1066</v>
      </c>
      <c r="D7" t="s">
        <v>1067</v>
      </c>
      <c r="E7" t="s">
        <v>1068</v>
      </c>
    </row>
    <row r="8" spans="1:5" x14ac:dyDescent="0.4">
      <c r="A8" s="26">
        <v>218</v>
      </c>
      <c r="B8" s="26">
        <v>19300</v>
      </c>
      <c r="C8" s="25">
        <v>20581</v>
      </c>
      <c r="D8" s="28">
        <v>3.8706422018348627</v>
      </c>
      <c r="E8" s="27">
        <v>74</v>
      </c>
    </row>
    <row r="11" spans="1:5" x14ac:dyDescent="0.4">
      <c r="A11" s="22" t="s">
        <v>1042</v>
      </c>
      <c r="B11" t="s">
        <v>1064</v>
      </c>
      <c r="C11" t="s">
        <v>1069</v>
      </c>
    </row>
    <row r="12" spans="1:5" x14ac:dyDescent="0.4">
      <c r="A12" s="23" t="s">
        <v>1052</v>
      </c>
      <c r="B12" s="26">
        <v>19</v>
      </c>
      <c r="C12" s="26">
        <v>19</v>
      </c>
    </row>
    <row r="13" spans="1:5" x14ac:dyDescent="0.4">
      <c r="A13" s="23" t="s">
        <v>1053</v>
      </c>
      <c r="B13" s="26">
        <v>10</v>
      </c>
      <c r="C13" s="26">
        <v>10</v>
      </c>
    </row>
    <row r="14" spans="1:5" x14ac:dyDescent="0.4">
      <c r="A14" s="23" t="s">
        <v>1054</v>
      </c>
      <c r="B14" s="26">
        <v>40</v>
      </c>
      <c r="C14" s="26">
        <v>40</v>
      </c>
    </row>
    <row r="15" spans="1:5" x14ac:dyDescent="0.4">
      <c r="A15" s="23" t="s">
        <v>1055</v>
      </c>
      <c r="B15" s="26">
        <v>40</v>
      </c>
      <c r="C15" s="26">
        <v>40</v>
      </c>
    </row>
    <row r="16" spans="1:5" x14ac:dyDescent="0.4">
      <c r="A16" s="23" t="s">
        <v>1056</v>
      </c>
      <c r="B16" s="26">
        <v>13</v>
      </c>
      <c r="C16" s="26">
        <v>13</v>
      </c>
    </row>
    <row r="17" spans="1:12" x14ac:dyDescent="0.4">
      <c r="A17" s="23" t="s">
        <v>1057</v>
      </c>
      <c r="B17" s="26">
        <v>12</v>
      </c>
      <c r="C17" s="26">
        <v>12</v>
      </c>
    </row>
    <row r="18" spans="1:12" x14ac:dyDescent="0.4">
      <c r="A18" s="23" t="s">
        <v>1058</v>
      </c>
      <c r="B18" s="26">
        <v>9</v>
      </c>
      <c r="C18" s="26">
        <v>9</v>
      </c>
    </row>
    <row r="19" spans="1:12" x14ac:dyDescent="0.4">
      <c r="A19" s="23" t="s">
        <v>1059</v>
      </c>
      <c r="B19" s="26">
        <v>13</v>
      </c>
      <c r="C19" s="26">
        <v>13</v>
      </c>
    </row>
    <row r="20" spans="1:12" x14ac:dyDescent="0.4">
      <c r="A20" s="23" t="s">
        <v>1060</v>
      </c>
      <c r="B20" s="26">
        <v>18</v>
      </c>
      <c r="C20" s="26">
        <v>18</v>
      </c>
    </row>
    <row r="21" spans="1:12" x14ac:dyDescent="0.4">
      <c r="A21" s="23" t="s">
        <v>1061</v>
      </c>
      <c r="B21" s="26">
        <v>21</v>
      </c>
      <c r="C21" s="26">
        <v>21</v>
      </c>
    </row>
    <row r="22" spans="1:12" x14ac:dyDescent="0.4">
      <c r="A22" s="23" t="s">
        <v>1062</v>
      </c>
      <c r="B22" s="26">
        <v>14</v>
      </c>
      <c r="C22" s="26">
        <v>14</v>
      </c>
    </row>
    <row r="23" spans="1:12" x14ac:dyDescent="0.4">
      <c r="A23" s="23" t="s">
        <v>1063</v>
      </c>
      <c r="B23" s="26">
        <v>9</v>
      </c>
      <c r="C23" s="26">
        <v>9</v>
      </c>
    </row>
    <row r="24" spans="1:12" x14ac:dyDescent="0.4">
      <c r="A24" s="23" t="s">
        <v>1050</v>
      </c>
      <c r="B24" s="26">
        <v>218</v>
      </c>
      <c r="C24" s="26">
        <v>218</v>
      </c>
    </row>
    <row r="25" spans="1:12" x14ac:dyDescent="0.4">
      <c r="K25" t="s">
        <v>1072</v>
      </c>
      <c r="L25" t="str">
        <f>A41</f>
        <v>R02</v>
      </c>
    </row>
    <row r="28" spans="1:12" x14ac:dyDescent="0.4">
      <c r="A28" s="22" t="s">
        <v>1042</v>
      </c>
      <c r="B28" t="s">
        <v>1064</v>
      </c>
      <c r="D28" s="22" t="s">
        <v>1042</v>
      </c>
      <c r="E28" t="s">
        <v>1064</v>
      </c>
      <c r="F28" t="s">
        <v>1065</v>
      </c>
      <c r="K28" t="s">
        <v>1070</v>
      </c>
      <c r="L28" t="s">
        <v>1071</v>
      </c>
    </row>
    <row r="29" spans="1:12" x14ac:dyDescent="0.4">
      <c r="A29" s="23" t="s">
        <v>1046</v>
      </c>
      <c r="B29" s="26">
        <v>28</v>
      </c>
      <c r="D29" s="23" t="s">
        <v>9</v>
      </c>
      <c r="E29" s="26">
        <v>218</v>
      </c>
      <c r="F29" s="26">
        <v>19300</v>
      </c>
      <c r="H29" s="23" t="s">
        <v>11</v>
      </c>
      <c r="I29" s="26">
        <v>189</v>
      </c>
      <c r="J29" s="30">
        <v>16834</v>
      </c>
      <c r="K29" t="e">
        <f>IF(H29=$L$25,I29,NA())</f>
        <v>#N/A</v>
      </c>
      <c r="L29" t="e">
        <f>IF(H29=$L$25,J29,NA())</f>
        <v>#N/A</v>
      </c>
    </row>
    <row r="30" spans="1:12" x14ac:dyDescent="0.4">
      <c r="A30" s="23" t="s">
        <v>1044</v>
      </c>
      <c r="B30" s="26">
        <v>24</v>
      </c>
      <c r="D30" s="23" t="s">
        <v>1050</v>
      </c>
      <c r="E30" s="26">
        <v>218</v>
      </c>
      <c r="F30" s="26">
        <v>19300</v>
      </c>
      <c r="H30" s="23" t="s">
        <v>9</v>
      </c>
      <c r="I30" s="26">
        <v>218</v>
      </c>
      <c r="J30" s="30">
        <v>19300</v>
      </c>
      <c r="K30">
        <f t="shared" ref="K30:K33" si="0">IF(H30=$L$25,I30,NA())</f>
        <v>218</v>
      </c>
      <c r="L30">
        <f t="shared" ref="L30:L33" si="1">IF(H30=$L$25,J30,NA())</f>
        <v>19300</v>
      </c>
    </row>
    <row r="31" spans="1:12" x14ac:dyDescent="0.4">
      <c r="A31" s="23" t="s">
        <v>1048</v>
      </c>
      <c r="B31" s="26">
        <v>44</v>
      </c>
      <c r="H31" s="23" t="s">
        <v>6</v>
      </c>
      <c r="I31" s="26">
        <v>207</v>
      </c>
      <c r="J31" s="30">
        <v>17700</v>
      </c>
      <c r="K31" t="e">
        <f t="shared" si="0"/>
        <v>#N/A</v>
      </c>
      <c r="L31" t="e">
        <f t="shared" si="1"/>
        <v>#N/A</v>
      </c>
    </row>
    <row r="32" spans="1:12" x14ac:dyDescent="0.4">
      <c r="A32" s="23" t="s">
        <v>1049</v>
      </c>
      <c r="B32" s="26">
        <v>36</v>
      </c>
      <c r="H32" s="23" t="s">
        <v>13</v>
      </c>
      <c r="I32" s="26">
        <v>186</v>
      </c>
      <c r="J32" s="30">
        <v>17807</v>
      </c>
      <c r="K32" t="e">
        <f t="shared" si="0"/>
        <v>#N/A</v>
      </c>
      <c r="L32" t="e">
        <f t="shared" si="1"/>
        <v>#N/A</v>
      </c>
    </row>
    <row r="33" spans="1:12" x14ac:dyDescent="0.4">
      <c r="A33" s="23" t="s">
        <v>1047</v>
      </c>
      <c r="B33" s="26">
        <v>33</v>
      </c>
      <c r="H33" s="23" t="s">
        <v>10</v>
      </c>
      <c r="I33" s="26">
        <v>200</v>
      </c>
      <c r="J33" s="30">
        <v>18209</v>
      </c>
      <c r="K33" t="e">
        <f t="shared" si="0"/>
        <v>#N/A</v>
      </c>
      <c r="L33" t="e">
        <f t="shared" si="1"/>
        <v>#N/A</v>
      </c>
    </row>
    <row r="34" spans="1:12" x14ac:dyDescent="0.4">
      <c r="A34" s="23" t="s">
        <v>1043</v>
      </c>
      <c r="B34" s="26">
        <v>29</v>
      </c>
    </row>
    <row r="35" spans="1:12" x14ac:dyDescent="0.4">
      <c r="A35" s="23" t="s">
        <v>1045</v>
      </c>
      <c r="B35" s="26">
        <v>24</v>
      </c>
    </row>
    <row r="36" spans="1:12" x14ac:dyDescent="0.4">
      <c r="A36" s="23" t="s">
        <v>1050</v>
      </c>
      <c r="B36" s="26">
        <v>218</v>
      </c>
    </row>
    <row r="38" spans="1:12" x14ac:dyDescent="0.4">
      <c r="E38" s="22" t="s">
        <v>1064</v>
      </c>
      <c r="F38" s="22" t="s">
        <v>1051</v>
      </c>
    </row>
    <row r="39" spans="1:12" x14ac:dyDescent="0.4">
      <c r="E39" s="22" t="s">
        <v>1042</v>
      </c>
      <c r="F39" t="s">
        <v>999</v>
      </c>
      <c r="G39" t="s">
        <v>998</v>
      </c>
      <c r="H39" t="s">
        <v>1050</v>
      </c>
    </row>
    <row r="40" spans="1:12" x14ac:dyDescent="0.4">
      <c r="A40" s="22" t="s">
        <v>1042</v>
      </c>
      <c r="E40" s="23" t="s">
        <v>1002</v>
      </c>
      <c r="F40" s="26">
        <v>144</v>
      </c>
      <c r="G40" s="26">
        <v>132</v>
      </c>
      <c r="H40" s="26">
        <v>276</v>
      </c>
    </row>
    <row r="41" spans="1:12" x14ac:dyDescent="0.4">
      <c r="A41" s="23" t="s">
        <v>9</v>
      </c>
      <c r="E41" s="23" t="s">
        <v>1001</v>
      </c>
      <c r="F41" s="26">
        <v>326</v>
      </c>
      <c r="G41" s="26">
        <v>63</v>
      </c>
      <c r="H41" s="26">
        <v>389</v>
      </c>
    </row>
    <row r="42" spans="1:12" x14ac:dyDescent="0.4">
      <c r="E42" s="23" t="s">
        <v>1000</v>
      </c>
      <c r="F42" s="26">
        <v>129</v>
      </c>
      <c r="G42" s="26">
        <v>206</v>
      </c>
      <c r="H42" s="26">
        <v>335</v>
      </c>
    </row>
    <row r="43" spans="1:12" x14ac:dyDescent="0.4">
      <c r="E43" s="23" t="s">
        <v>1050</v>
      </c>
      <c r="F43" s="26">
        <v>599</v>
      </c>
      <c r="G43" s="26">
        <v>401</v>
      </c>
      <c r="H43" s="26">
        <v>1000</v>
      </c>
    </row>
    <row r="48" spans="1:12" x14ac:dyDescent="0.4">
      <c r="E48" s="22" t="s">
        <v>1042</v>
      </c>
      <c r="F48" t="s">
        <v>1064</v>
      </c>
    </row>
    <row r="49" spans="5:12" x14ac:dyDescent="0.4">
      <c r="E49" s="23">
        <v>1</v>
      </c>
      <c r="F49" s="26">
        <v>3</v>
      </c>
      <c r="K49" s="23">
        <v>0</v>
      </c>
      <c r="L49" s="26">
        <f>IFERROR(GETPIVOTDATA("Total calls",$E$48,"Satisfaction Rating",J49),0)</f>
        <v>0</v>
      </c>
    </row>
    <row r="50" spans="5:12" x14ac:dyDescent="0.4">
      <c r="E50" s="23">
        <v>2</v>
      </c>
      <c r="F50" s="26">
        <v>19</v>
      </c>
      <c r="K50" s="23">
        <v>1</v>
      </c>
      <c r="L50" s="26">
        <f t="shared" ref="L50:L54" si="2">IFERROR(GETPIVOTDATA("Total calls",$E$48,"Satisfaction Rating",J50),0)</f>
        <v>0</v>
      </c>
    </row>
    <row r="51" spans="5:12" x14ac:dyDescent="0.4">
      <c r="E51" s="23">
        <v>3</v>
      </c>
      <c r="F51" s="26">
        <v>35</v>
      </c>
      <c r="K51" s="23">
        <v>2</v>
      </c>
      <c r="L51" s="26">
        <f t="shared" si="2"/>
        <v>0</v>
      </c>
    </row>
    <row r="52" spans="5:12" x14ac:dyDescent="0.4">
      <c r="E52" s="23">
        <v>4</v>
      </c>
      <c r="F52" s="26">
        <v>87</v>
      </c>
      <c r="K52" s="23">
        <v>3</v>
      </c>
      <c r="L52" s="26">
        <f t="shared" si="2"/>
        <v>0</v>
      </c>
    </row>
    <row r="53" spans="5:12" x14ac:dyDescent="0.4">
      <c r="E53" s="23">
        <v>5</v>
      </c>
      <c r="F53" s="26">
        <v>74</v>
      </c>
      <c r="K53" s="23">
        <v>4</v>
      </c>
      <c r="L53" s="26">
        <f t="shared" si="2"/>
        <v>0</v>
      </c>
    </row>
    <row r="54" spans="5:12" x14ac:dyDescent="0.4">
      <c r="E54" s="23" t="s">
        <v>1050</v>
      </c>
      <c r="F54" s="26">
        <v>218</v>
      </c>
      <c r="K54" s="23">
        <v>5</v>
      </c>
      <c r="L54" s="26">
        <f t="shared" si="2"/>
        <v>0</v>
      </c>
    </row>
    <row r="58" spans="5:12" x14ac:dyDescent="0.4">
      <c r="E58" s="22" t="s">
        <v>1066</v>
      </c>
      <c r="F58" s="22" t="s">
        <v>1051</v>
      </c>
    </row>
    <row r="59" spans="5:12" x14ac:dyDescent="0.4">
      <c r="E59" s="22" t="s">
        <v>1042</v>
      </c>
      <c r="F59" t="s">
        <v>11</v>
      </c>
      <c r="G59" t="s">
        <v>9</v>
      </c>
      <c r="H59" t="s">
        <v>6</v>
      </c>
      <c r="I59" t="s">
        <v>13</v>
      </c>
      <c r="J59" t="s">
        <v>10</v>
      </c>
      <c r="K59" t="s">
        <v>1050</v>
      </c>
    </row>
    <row r="60" spans="5:12" x14ac:dyDescent="0.4">
      <c r="E60" s="23" t="s">
        <v>1002</v>
      </c>
      <c r="F60" s="21"/>
      <c r="G60" s="21"/>
      <c r="H60" s="21"/>
      <c r="I60" s="21"/>
      <c r="J60" s="21"/>
      <c r="K60" s="21"/>
    </row>
    <row r="61" spans="5:12" x14ac:dyDescent="0.4">
      <c r="E61" s="24" t="s">
        <v>20</v>
      </c>
      <c r="F61" s="25">
        <v>891</v>
      </c>
      <c r="G61" s="25">
        <v>1332</v>
      </c>
      <c r="H61" s="25">
        <v>1282</v>
      </c>
      <c r="I61" s="25">
        <v>739</v>
      </c>
      <c r="J61" s="25">
        <v>560</v>
      </c>
      <c r="K61" s="25">
        <v>4804</v>
      </c>
    </row>
    <row r="62" spans="5:12" x14ac:dyDescent="0.4">
      <c r="E62" s="24" t="s">
        <v>12</v>
      </c>
      <c r="F62" s="25">
        <v>1991</v>
      </c>
      <c r="G62" s="25">
        <v>1886</v>
      </c>
      <c r="H62" s="25">
        <v>1206</v>
      </c>
      <c r="I62" s="25">
        <v>884</v>
      </c>
      <c r="J62" s="25">
        <v>1722</v>
      </c>
      <c r="K62" s="25">
        <v>7689</v>
      </c>
    </row>
    <row r="63" spans="5:12" x14ac:dyDescent="0.4">
      <c r="E63" s="24" t="s">
        <v>8</v>
      </c>
      <c r="F63" s="25">
        <v>1163</v>
      </c>
      <c r="G63" s="25">
        <v>1180</v>
      </c>
      <c r="H63" s="25">
        <v>1616</v>
      </c>
      <c r="I63" s="25">
        <v>1043</v>
      </c>
      <c r="J63" s="25">
        <v>1747</v>
      </c>
      <c r="K63" s="25">
        <v>6749</v>
      </c>
    </row>
    <row r="64" spans="5:12" x14ac:dyDescent="0.4">
      <c r="E64" s="24" t="s">
        <v>16</v>
      </c>
      <c r="F64" s="25">
        <v>1438</v>
      </c>
      <c r="G64" s="25">
        <v>1616</v>
      </c>
      <c r="H64" s="25">
        <v>866</v>
      </c>
      <c r="I64" s="25">
        <v>829</v>
      </c>
      <c r="J64" s="25">
        <v>2070</v>
      </c>
      <c r="K64" s="25">
        <v>6819</v>
      </c>
    </row>
    <row r="65" spans="5:11" x14ac:dyDescent="0.4">
      <c r="E65" s="23" t="s">
        <v>1001</v>
      </c>
      <c r="F65" s="21"/>
      <c r="G65" s="21"/>
      <c r="H65" s="21"/>
      <c r="I65" s="21"/>
      <c r="J65" s="21"/>
      <c r="K65" s="21"/>
    </row>
    <row r="66" spans="5:11" x14ac:dyDescent="0.4">
      <c r="E66" s="24" t="s">
        <v>24</v>
      </c>
      <c r="F66" s="25">
        <v>1233</v>
      </c>
      <c r="G66" s="25">
        <v>223</v>
      </c>
      <c r="H66" s="25">
        <v>1680</v>
      </c>
      <c r="I66" s="25">
        <v>990</v>
      </c>
      <c r="J66" s="25">
        <v>1508</v>
      </c>
      <c r="K66" s="25">
        <v>5634</v>
      </c>
    </row>
    <row r="67" spans="5:11" x14ac:dyDescent="0.4">
      <c r="E67" s="24" t="s">
        <v>15</v>
      </c>
      <c r="F67" s="25">
        <v>1598</v>
      </c>
      <c r="G67" s="25">
        <v>1907</v>
      </c>
      <c r="H67" s="25">
        <v>869</v>
      </c>
      <c r="I67" s="25">
        <v>1426</v>
      </c>
      <c r="J67" s="25">
        <v>1416</v>
      </c>
      <c r="K67" s="25">
        <v>7216</v>
      </c>
    </row>
    <row r="68" spans="5:11" x14ac:dyDescent="0.4">
      <c r="E68" s="24" t="s">
        <v>5</v>
      </c>
      <c r="F68" s="25">
        <v>900</v>
      </c>
      <c r="G68" s="25">
        <v>1016</v>
      </c>
      <c r="H68" s="25">
        <v>960</v>
      </c>
      <c r="I68" s="25">
        <v>940</v>
      </c>
      <c r="J68" s="25">
        <v>1193</v>
      </c>
      <c r="K68" s="25">
        <v>5009</v>
      </c>
    </row>
    <row r="69" spans="5:11" x14ac:dyDescent="0.4">
      <c r="E69" s="24" t="s">
        <v>18</v>
      </c>
      <c r="F69" s="25">
        <v>900</v>
      </c>
      <c r="G69" s="25">
        <v>1470</v>
      </c>
      <c r="H69" s="25">
        <v>1617</v>
      </c>
      <c r="I69" s="25">
        <v>1314</v>
      </c>
      <c r="J69" s="25">
        <v>941</v>
      </c>
      <c r="K69" s="25">
        <v>6242</v>
      </c>
    </row>
    <row r="70" spans="5:11" x14ac:dyDescent="0.4">
      <c r="E70" s="24" t="s">
        <v>14</v>
      </c>
      <c r="F70" s="25">
        <v>1255</v>
      </c>
      <c r="G70" s="25">
        <v>516</v>
      </c>
      <c r="H70" s="25">
        <v>1874</v>
      </c>
      <c r="I70" s="25">
        <v>1863</v>
      </c>
      <c r="J70" s="25">
        <v>1722</v>
      </c>
      <c r="K70" s="25">
        <v>7230</v>
      </c>
    </row>
    <row r="71" spans="5:11" x14ac:dyDescent="0.4">
      <c r="E71" s="24" t="s">
        <v>19</v>
      </c>
      <c r="F71" s="25">
        <v>1138</v>
      </c>
      <c r="G71" s="25">
        <v>1898</v>
      </c>
      <c r="H71" s="25">
        <v>1482</v>
      </c>
      <c r="I71" s="25">
        <v>846</v>
      </c>
      <c r="J71" s="25">
        <v>1154</v>
      </c>
      <c r="K71" s="25">
        <v>6518</v>
      </c>
    </row>
    <row r="72" spans="5:11" x14ac:dyDescent="0.4">
      <c r="E72" s="23" t="s">
        <v>1000</v>
      </c>
      <c r="F72" s="21"/>
      <c r="G72" s="21"/>
      <c r="H72" s="21"/>
      <c r="I72" s="21"/>
      <c r="J72" s="21"/>
      <c r="K72" s="21"/>
    </row>
    <row r="73" spans="5:11" x14ac:dyDescent="0.4">
      <c r="E73" s="24" t="s">
        <v>17</v>
      </c>
      <c r="F73" s="25">
        <v>1655</v>
      </c>
      <c r="G73" s="25">
        <v>805</v>
      </c>
      <c r="H73" s="25">
        <v>2263</v>
      </c>
      <c r="I73" s="25">
        <v>987</v>
      </c>
      <c r="J73" s="25">
        <v>1075</v>
      </c>
      <c r="K73" s="25">
        <v>6785</v>
      </c>
    </row>
    <row r="74" spans="5:11" x14ac:dyDescent="0.4">
      <c r="E74" s="24" t="s">
        <v>23</v>
      </c>
      <c r="F74" s="25">
        <v>1104</v>
      </c>
      <c r="G74" s="25">
        <v>2280</v>
      </c>
      <c r="H74" s="25">
        <v>1445</v>
      </c>
      <c r="I74" s="25">
        <v>1722</v>
      </c>
      <c r="J74" s="25">
        <v>1196</v>
      </c>
      <c r="K74" s="25">
        <v>7747</v>
      </c>
    </row>
    <row r="75" spans="5:11" x14ac:dyDescent="0.4">
      <c r="E75" s="24" t="s">
        <v>7</v>
      </c>
      <c r="F75" s="25">
        <v>372</v>
      </c>
      <c r="G75" s="25">
        <v>1818</v>
      </c>
      <c r="H75" s="25">
        <v>1346</v>
      </c>
      <c r="I75" s="25">
        <v>1156</v>
      </c>
      <c r="J75" s="25">
        <v>1484</v>
      </c>
      <c r="K75" s="25">
        <v>6176</v>
      </c>
    </row>
    <row r="76" spans="5:11" x14ac:dyDescent="0.4">
      <c r="E76" s="24" t="s">
        <v>22</v>
      </c>
      <c r="F76" s="25">
        <v>1415</v>
      </c>
      <c r="G76" s="25">
        <v>1271</v>
      </c>
      <c r="H76" s="25">
        <v>1214</v>
      </c>
      <c r="I76" s="25">
        <v>1135</v>
      </c>
      <c r="J76" s="25">
        <v>1566</v>
      </c>
      <c r="K76" s="25">
        <v>6601</v>
      </c>
    </row>
    <row r="77" spans="5:11" x14ac:dyDescent="0.4">
      <c r="E77" s="24" t="s">
        <v>21</v>
      </c>
      <c r="F77" s="25">
        <v>1362</v>
      </c>
      <c r="G77" s="25">
        <v>1363</v>
      </c>
      <c r="H77" s="25">
        <v>1152</v>
      </c>
      <c r="I77" s="25">
        <v>777</v>
      </c>
      <c r="J77" s="25">
        <v>750</v>
      </c>
      <c r="K77" s="25">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I1" zoomScale="115" zoomScaleNormal="115" workbookViewId="0">
      <selection activeCell="C18" sqref="C18"/>
    </sheetView>
  </sheetViews>
  <sheetFormatPr defaultRowHeight="14.5" x14ac:dyDescent="0.4"/>
  <cols>
    <col min="1" max="1" width="3" customWidth="1"/>
    <col min="2" max="2" width="14.69140625" customWidth="1"/>
    <col min="3" max="3" width="12.921875" customWidth="1"/>
    <col min="4" max="4" width="16.69140625" customWidth="1"/>
    <col min="5" max="5" width="15.07421875" customWidth="1"/>
    <col min="6" max="6" width="16.23046875" customWidth="1"/>
    <col min="7" max="7" width="17.3828125" customWidth="1"/>
    <col min="8" max="8" width="18.4609375" customWidth="1"/>
    <col min="9" max="9" width="17.3828125" customWidth="1"/>
    <col min="10" max="12" width="15.61328125" customWidth="1"/>
    <col min="13" max="16" width="7.61328125" customWidth="1"/>
    <col min="17" max="17" width="14.69140625" customWidth="1"/>
    <col min="20" max="20" width="10.69140625" customWidth="1"/>
  </cols>
  <sheetData>
    <row r="1" spans="2:20" s="4" customFormat="1" ht="48" customHeight="1" x14ac:dyDescent="0.4">
      <c r="B1" s="5" t="s">
        <v>1003</v>
      </c>
    </row>
    <row r="2" spans="2:20" ht="15" x14ac:dyDescent="0.4">
      <c r="R2" s="1"/>
    </row>
    <row r="3" spans="2:20" ht="15" x14ac:dyDescent="0.4">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5" x14ac:dyDescent="0.4">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5" x14ac:dyDescent="0.4">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5" x14ac:dyDescent="0.4">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5" x14ac:dyDescent="0.4">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5" x14ac:dyDescent="0.4">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5" x14ac:dyDescent="0.4">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5" x14ac:dyDescent="0.4">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5" x14ac:dyDescent="0.4">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5" x14ac:dyDescent="0.4">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5" x14ac:dyDescent="0.4">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5" x14ac:dyDescent="0.4">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5" x14ac:dyDescent="0.4">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5" x14ac:dyDescent="0.4">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5" x14ac:dyDescent="0.4">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5" x14ac:dyDescent="0.4">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5" x14ac:dyDescent="0.4">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5" x14ac:dyDescent="0.4">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5" x14ac:dyDescent="0.4">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5" x14ac:dyDescent="0.4">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ht="15" x14ac:dyDescent="0.4">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ht="15" x14ac:dyDescent="0.4">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t="15" x14ac:dyDescent="0.4">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t="15" x14ac:dyDescent="0.4">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t="15" x14ac:dyDescent="0.4">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t="15" x14ac:dyDescent="0.4">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5" x14ac:dyDescent="0.4">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5" x14ac:dyDescent="0.4">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5" x14ac:dyDescent="0.4">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5" x14ac:dyDescent="0.4">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5" x14ac:dyDescent="0.4">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5" x14ac:dyDescent="0.4">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5" x14ac:dyDescent="0.4">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5" x14ac:dyDescent="0.4">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5" x14ac:dyDescent="0.4">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5" x14ac:dyDescent="0.4">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5" x14ac:dyDescent="0.4">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5" x14ac:dyDescent="0.4">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5" x14ac:dyDescent="0.4">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5" x14ac:dyDescent="0.4">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5" x14ac:dyDescent="0.4">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5" x14ac:dyDescent="0.4">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5" x14ac:dyDescent="0.4">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5" x14ac:dyDescent="0.4">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5" x14ac:dyDescent="0.4">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5" x14ac:dyDescent="0.4">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5" x14ac:dyDescent="0.4">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5" x14ac:dyDescent="0.4">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5" x14ac:dyDescent="0.4">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5" x14ac:dyDescent="0.4">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5" x14ac:dyDescent="0.4">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5" x14ac:dyDescent="0.4">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5" x14ac:dyDescent="0.4">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5" x14ac:dyDescent="0.4">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5" x14ac:dyDescent="0.4">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5" x14ac:dyDescent="0.4">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5" x14ac:dyDescent="0.4">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5" x14ac:dyDescent="0.4">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5" x14ac:dyDescent="0.4">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5" x14ac:dyDescent="0.4">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5" x14ac:dyDescent="0.4">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5" x14ac:dyDescent="0.4">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5" x14ac:dyDescent="0.4">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5" x14ac:dyDescent="0.4">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5" x14ac:dyDescent="0.4">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5" x14ac:dyDescent="0.4">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5" x14ac:dyDescent="0.4">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5" x14ac:dyDescent="0.4">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5" x14ac:dyDescent="0.4">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5" x14ac:dyDescent="0.4">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5" x14ac:dyDescent="0.4">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5" x14ac:dyDescent="0.4">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5" x14ac:dyDescent="0.4">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5" x14ac:dyDescent="0.4">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5" x14ac:dyDescent="0.4">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5" x14ac:dyDescent="0.4">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5" x14ac:dyDescent="0.4">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5" x14ac:dyDescent="0.4">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5" x14ac:dyDescent="0.4">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5" x14ac:dyDescent="0.4">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5" x14ac:dyDescent="0.4">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5" x14ac:dyDescent="0.4">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5" x14ac:dyDescent="0.4">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5" x14ac:dyDescent="0.4">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5" x14ac:dyDescent="0.4">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5" x14ac:dyDescent="0.4">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5" x14ac:dyDescent="0.4">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5" x14ac:dyDescent="0.4">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5" x14ac:dyDescent="0.4">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5" x14ac:dyDescent="0.4">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5" x14ac:dyDescent="0.4">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5" x14ac:dyDescent="0.4">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5" x14ac:dyDescent="0.4">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5" x14ac:dyDescent="0.4">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5" x14ac:dyDescent="0.4">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5" x14ac:dyDescent="0.4">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5" x14ac:dyDescent="0.4">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5" x14ac:dyDescent="0.4">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5" x14ac:dyDescent="0.4">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5" x14ac:dyDescent="0.4">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5" x14ac:dyDescent="0.4">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5" x14ac:dyDescent="0.4">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5" x14ac:dyDescent="0.4">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5" x14ac:dyDescent="0.4">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5" x14ac:dyDescent="0.4">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5" x14ac:dyDescent="0.4">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5" x14ac:dyDescent="0.4">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5" x14ac:dyDescent="0.4">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5" x14ac:dyDescent="0.4">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5" x14ac:dyDescent="0.4">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5" x14ac:dyDescent="0.4">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5" x14ac:dyDescent="0.4">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5" x14ac:dyDescent="0.4">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5" x14ac:dyDescent="0.4">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5" x14ac:dyDescent="0.4">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5" x14ac:dyDescent="0.4">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5" x14ac:dyDescent="0.4">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5" x14ac:dyDescent="0.4">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5" x14ac:dyDescent="0.4">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5" x14ac:dyDescent="0.4">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5" x14ac:dyDescent="0.4">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5" x14ac:dyDescent="0.4">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5" x14ac:dyDescent="0.4">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5" x14ac:dyDescent="0.4">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5" x14ac:dyDescent="0.4">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5" x14ac:dyDescent="0.4">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5" x14ac:dyDescent="0.4">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5" x14ac:dyDescent="0.4">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5" x14ac:dyDescent="0.4">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5" x14ac:dyDescent="0.4">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5" x14ac:dyDescent="0.4">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5" x14ac:dyDescent="0.4">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5" x14ac:dyDescent="0.4">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5" x14ac:dyDescent="0.4">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5" x14ac:dyDescent="0.4">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5" x14ac:dyDescent="0.4">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5" x14ac:dyDescent="0.4">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5" x14ac:dyDescent="0.4">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5" x14ac:dyDescent="0.4">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5" x14ac:dyDescent="0.4">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5" x14ac:dyDescent="0.4">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5" x14ac:dyDescent="0.4">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5" x14ac:dyDescent="0.4">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5" x14ac:dyDescent="0.4">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5" x14ac:dyDescent="0.4">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5" x14ac:dyDescent="0.4">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5" x14ac:dyDescent="0.4">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5" x14ac:dyDescent="0.4">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5" x14ac:dyDescent="0.4">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5" x14ac:dyDescent="0.4">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5" x14ac:dyDescent="0.4">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5" x14ac:dyDescent="0.4">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5" x14ac:dyDescent="0.4">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5" x14ac:dyDescent="0.4">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5" x14ac:dyDescent="0.4">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5" x14ac:dyDescent="0.4">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5" x14ac:dyDescent="0.4">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5" x14ac:dyDescent="0.4">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5" x14ac:dyDescent="0.4">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5" x14ac:dyDescent="0.4">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5" x14ac:dyDescent="0.4">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5" x14ac:dyDescent="0.4">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5" x14ac:dyDescent="0.4">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5" x14ac:dyDescent="0.4">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5" x14ac:dyDescent="0.4">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5" x14ac:dyDescent="0.4">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5" x14ac:dyDescent="0.4">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5" x14ac:dyDescent="0.4">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5" x14ac:dyDescent="0.4">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5" x14ac:dyDescent="0.4">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5" x14ac:dyDescent="0.4">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5" x14ac:dyDescent="0.4">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5" x14ac:dyDescent="0.4">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5" x14ac:dyDescent="0.4">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5" x14ac:dyDescent="0.4">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5" x14ac:dyDescent="0.4">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5" x14ac:dyDescent="0.4">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5" x14ac:dyDescent="0.4">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5" x14ac:dyDescent="0.4">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5" x14ac:dyDescent="0.4">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5" x14ac:dyDescent="0.4">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5" x14ac:dyDescent="0.4">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5" x14ac:dyDescent="0.4">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5" x14ac:dyDescent="0.4">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5" x14ac:dyDescent="0.4">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5" x14ac:dyDescent="0.4">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5" x14ac:dyDescent="0.4">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5" x14ac:dyDescent="0.4">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5" x14ac:dyDescent="0.4">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5" x14ac:dyDescent="0.4">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5" x14ac:dyDescent="0.4">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5" x14ac:dyDescent="0.4">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5" x14ac:dyDescent="0.4">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5" x14ac:dyDescent="0.4">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5" x14ac:dyDescent="0.4">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5" x14ac:dyDescent="0.4">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5" x14ac:dyDescent="0.4">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5" x14ac:dyDescent="0.4">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5" x14ac:dyDescent="0.4">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5" x14ac:dyDescent="0.4">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5" x14ac:dyDescent="0.4">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5" x14ac:dyDescent="0.4">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5" x14ac:dyDescent="0.4">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5" x14ac:dyDescent="0.4">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5" x14ac:dyDescent="0.4">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5" x14ac:dyDescent="0.4">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5" x14ac:dyDescent="0.4">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5" x14ac:dyDescent="0.4">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5" x14ac:dyDescent="0.4">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5" x14ac:dyDescent="0.4">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5" x14ac:dyDescent="0.4">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5" x14ac:dyDescent="0.4">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5" x14ac:dyDescent="0.4">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5" x14ac:dyDescent="0.4">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5" x14ac:dyDescent="0.4">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5" x14ac:dyDescent="0.4">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5" x14ac:dyDescent="0.4">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5" x14ac:dyDescent="0.4">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5" x14ac:dyDescent="0.4">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5" x14ac:dyDescent="0.4">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5" x14ac:dyDescent="0.4">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5" x14ac:dyDescent="0.4">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5" x14ac:dyDescent="0.4">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5" x14ac:dyDescent="0.4">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5" x14ac:dyDescent="0.4">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5" x14ac:dyDescent="0.4">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5" x14ac:dyDescent="0.4">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5" x14ac:dyDescent="0.4">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5" x14ac:dyDescent="0.4">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5" x14ac:dyDescent="0.4">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5" x14ac:dyDescent="0.4">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5" x14ac:dyDescent="0.4">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5" x14ac:dyDescent="0.4">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5" x14ac:dyDescent="0.4">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5" x14ac:dyDescent="0.4">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5" x14ac:dyDescent="0.4">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5" x14ac:dyDescent="0.4">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5" x14ac:dyDescent="0.4">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5" x14ac:dyDescent="0.4">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5" x14ac:dyDescent="0.4">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5" x14ac:dyDescent="0.4">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5" x14ac:dyDescent="0.4">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5" x14ac:dyDescent="0.4">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5" x14ac:dyDescent="0.4">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5" x14ac:dyDescent="0.4">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5" x14ac:dyDescent="0.4">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5" x14ac:dyDescent="0.4">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5" x14ac:dyDescent="0.4">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5" x14ac:dyDescent="0.4">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5" x14ac:dyDescent="0.4">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5" x14ac:dyDescent="0.4">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5" x14ac:dyDescent="0.4">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5" x14ac:dyDescent="0.4">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5" x14ac:dyDescent="0.4">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5" x14ac:dyDescent="0.4">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5" x14ac:dyDescent="0.4">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5" x14ac:dyDescent="0.4">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5" x14ac:dyDescent="0.4">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5" x14ac:dyDescent="0.4">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5" x14ac:dyDescent="0.4">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5" x14ac:dyDescent="0.4">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5" x14ac:dyDescent="0.4">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5" x14ac:dyDescent="0.4">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5" x14ac:dyDescent="0.4">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5" x14ac:dyDescent="0.4">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5" x14ac:dyDescent="0.4">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5" x14ac:dyDescent="0.4">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5" x14ac:dyDescent="0.4">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5" x14ac:dyDescent="0.4">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5" x14ac:dyDescent="0.4">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5" x14ac:dyDescent="0.4">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5" x14ac:dyDescent="0.4">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5" x14ac:dyDescent="0.4">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5" x14ac:dyDescent="0.4">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5" x14ac:dyDescent="0.4">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5" x14ac:dyDescent="0.4">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5" x14ac:dyDescent="0.4">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5" x14ac:dyDescent="0.4">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5" x14ac:dyDescent="0.4">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5" x14ac:dyDescent="0.4">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5" x14ac:dyDescent="0.4">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5" x14ac:dyDescent="0.4">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5" x14ac:dyDescent="0.4">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5" x14ac:dyDescent="0.4">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5" x14ac:dyDescent="0.4">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5" x14ac:dyDescent="0.4">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5" x14ac:dyDescent="0.4">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5" x14ac:dyDescent="0.4">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5" x14ac:dyDescent="0.4">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5" x14ac:dyDescent="0.4">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5" x14ac:dyDescent="0.4">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5" x14ac:dyDescent="0.4">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5" x14ac:dyDescent="0.4">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5" x14ac:dyDescent="0.4">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5" x14ac:dyDescent="0.4">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5" x14ac:dyDescent="0.4">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5" x14ac:dyDescent="0.4">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5" x14ac:dyDescent="0.4">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5" x14ac:dyDescent="0.4">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5" x14ac:dyDescent="0.4">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5" x14ac:dyDescent="0.4">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5" x14ac:dyDescent="0.4">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5" x14ac:dyDescent="0.4">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5" x14ac:dyDescent="0.4">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5" x14ac:dyDescent="0.4">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5" x14ac:dyDescent="0.4">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5" x14ac:dyDescent="0.4">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5" x14ac:dyDescent="0.4">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5" x14ac:dyDescent="0.4">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5" x14ac:dyDescent="0.4">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5" x14ac:dyDescent="0.4">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5" x14ac:dyDescent="0.4">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5" x14ac:dyDescent="0.4">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5" x14ac:dyDescent="0.4">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5" x14ac:dyDescent="0.4">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5" x14ac:dyDescent="0.4">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5" x14ac:dyDescent="0.4">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5" x14ac:dyDescent="0.4">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5" x14ac:dyDescent="0.4">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5" x14ac:dyDescent="0.4">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5" x14ac:dyDescent="0.4">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5" x14ac:dyDescent="0.4">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5" x14ac:dyDescent="0.4">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5" x14ac:dyDescent="0.4">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5" x14ac:dyDescent="0.4">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5" x14ac:dyDescent="0.4">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5" x14ac:dyDescent="0.4">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5" x14ac:dyDescent="0.4">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5" x14ac:dyDescent="0.4">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5" x14ac:dyDescent="0.4">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5" x14ac:dyDescent="0.4">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5" x14ac:dyDescent="0.4">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5" x14ac:dyDescent="0.4">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5" x14ac:dyDescent="0.4">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5" x14ac:dyDescent="0.4">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5" x14ac:dyDescent="0.4">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5" x14ac:dyDescent="0.4">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5" x14ac:dyDescent="0.4">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5" x14ac:dyDescent="0.4">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5" x14ac:dyDescent="0.4">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5" x14ac:dyDescent="0.4">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5" x14ac:dyDescent="0.4">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5" x14ac:dyDescent="0.4">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5" x14ac:dyDescent="0.4">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5" x14ac:dyDescent="0.4">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5" x14ac:dyDescent="0.4">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5" x14ac:dyDescent="0.4">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5" x14ac:dyDescent="0.4">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5" x14ac:dyDescent="0.4">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5" x14ac:dyDescent="0.4">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5" x14ac:dyDescent="0.4">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5" x14ac:dyDescent="0.4">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5" x14ac:dyDescent="0.4">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5" x14ac:dyDescent="0.4">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5" x14ac:dyDescent="0.4">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5" x14ac:dyDescent="0.4">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5" x14ac:dyDescent="0.4">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5" x14ac:dyDescent="0.4">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5" x14ac:dyDescent="0.4">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5" x14ac:dyDescent="0.4">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5" x14ac:dyDescent="0.4">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5" x14ac:dyDescent="0.4">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5" x14ac:dyDescent="0.4">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5" x14ac:dyDescent="0.4">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5" x14ac:dyDescent="0.4">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5" x14ac:dyDescent="0.4">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5" x14ac:dyDescent="0.4">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5" x14ac:dyDescent="0.4">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5" x14ac:dyDescent="0.4">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5" x14ac:dyDescent="0.4">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5" x14ac:dyDescent="0.4">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5" x14ac:dyDescent="0.4">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5" x14ac:dyDescent="0.4">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5" x14ac:dyDescent="0.4">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5" x14ac:dyDescent="0.4">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5" x14ac:dyDescent="0.4">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5" x14ac:dyDescent="0.4">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5" x14ac:dyDescent="0.4">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5" x14ac:dyDescent="0.4">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5" x14ac:dyDescent="0.4">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5" x14ac:dyDescent="0.4">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5" x14ac:dyDescent="0.4">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5" x14ac:dyDescent="0.4">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5" x14ac:dyDescent="0.4">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5" x14ac:dyDescent="0.4">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5" x14ac:dyDescent="0.4">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5" x14ac:dyDescent="0.4">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5" x14ac:dyDescent="0.4">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5" x14ac:dyDescent="0.4">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5" x14ac:dyDescent="0.4">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5" x14ac:dyDescent="0.4">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5" x14ac:dyDescent="0.4">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5" x14ac:dyDescent="0.4">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5" x14ac:dyDescent="0.4">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5" x14ac:dyDescent="0.4">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5" x14ac:dyDescent="0.4">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5" x14ac:dyDescent="0.4">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5" x14ac:dyDescent="0.4">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5" x14ac:dyDescent="0.4">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5" x14ac:dyDescent="0.4">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5" x14ac:dyDescent="0.4">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5" x14ac:dyDescent="0.4">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5" x14ac:dyDescent="0.4">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5" x14ac:dyDescent="0.4">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5" x14ac:dyDescent="0.4">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5" x14ac:dyDescent="0.4">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5" x14ac:dyDescent="0.4">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5" x14ac:dyDescent="0.4">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5" x14ac:dyDescent="0.4">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5" x14ac:dyDescent="0.4">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5" x14ac:dyDescent="0.4">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5" x14ac:dyDescent="0.4">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5" x14ac:dyDescent="0.4">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5" x14ac:dyDescent="0.4">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5" x14ac:dyDescent="0.4">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5" x14ac:dyDescent="0.4">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5" x14ac:dyDescent="0.4">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5" x14ac:dyDescent="0.4">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5" x14ac:dyDescent="0.4">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5" x14ac:dyDescent="0.4">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5" x14ac:dyDescent="0.4">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5" x14ac:dyDescent="0.4">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5" x14ac:dyDescent="0.4">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5" x14ac:dyDescent="0.4">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5" x14ac:dyDescent="0.4">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5" x14ac:dyDescent="0.4">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5" x14ac:dyDescent="0.4">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5" x14ac:dyDescent="0.4">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5" x14ac:dyDescent="0.4">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5" x14ac:dyDescent="0.4">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5" x14ac:dyDescent="0.4">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5" x14ac:dyDescent="0.4">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5" x14ac:dyDescent="0.4">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5" x14ac:dyDescent="0.4">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5" x14ac:dyDescent="0.4">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5" x14ac:dyDescent="0.4">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5" x14ac:dyDescent="0.4">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5" x14ac:dyDescent="0.4">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5" x14ac:dyDescent="0.4">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5" x14ac:dyDescent="0.4">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5" x14ac:dyDescent="0.4">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5" x14ac:dyDescent="0.4">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5" x14ac:dyDescent="0.4">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5" x14ac:dyDescent="0.4">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5" x14ac:dyDescent="0.4">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5" x14ac:dyDescent="0.4">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5" x14ac:dyDescent="0.4">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5" x14ac:dyDescent="0.4">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5" x14ac:dyDescent="0.4">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5" x14ac:dyDescent="0.4">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5" x14ac:dyDescent="0.4">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5" x14ac:dyDescent="0.4">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5" x14ac:dyDescent="0.4">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5" x14ac:dyDescent="0.4">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5" x14ac:dyDescent="0.4">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5" x14ac:dyDescent="0.4">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5" x14ac:dyDescent="0.4">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5" x14ac:dyDescent="0.4">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5" x14ac:dyDescent="0.4">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5" x14ac:dyDescent="0.4">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5" x14ac:dyDescent="0.4">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5" x14ac:dyDescent="0.4">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5" x14ac:dyDescent="0.4">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5" x14ac:dyDescent="0.4">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5" x14ac:dyDescent="0.4">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5" x14ac:dyDescent="0.4">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5" x14ac:dyDescent="0.4">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5" x14ac:dyDescent="0.4">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5" x14ac:dyDescent="0.4">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5" x14ac:dyDescent="0.4">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5" x14ac:dyDescent="0.4">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5" x14ac:dyDescent="0.4">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5" x14ac:dyDescent="0.4">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5" x14ac:dyDescent="0.4">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5" x14ac:dyDescent="0.4">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5" x14ac:dyDescent="0.4">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5" x14ac:dyDescent="0.4">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5" x14ac:dyDescent="0.4">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5" x14ac:dyDescent="0.4">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5" x14ac:dyDescent="0.4">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5" x14ac:dyDescent="0.4">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5" x14ac:dyDescent="0.4">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5" x14ac:dyDescent="0.4">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5" x14ac:dyDescent="0.4">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5" x14ac:dyDescent="0.4">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5" x14ac:dyDescent="0.4">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5" x14ac:dyDescent="0.4">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5" x14ac:dyDescent="0.4">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5" x14ac:dyDescent="0.4">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5" x14ac:dyDescent="0.4">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5" x14ac:dyDescent="0.4">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5" x14ac:dyDescent="0.4">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5" x14ac:dyDescent="0.4">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5" x14ac:dyDescent="0.4">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5" x14ac:dyDescent="0.4">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5" x14ac:dyDescent="0.4">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5" x14ac:dyDescent="0.4">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5" x14ac:dyDescent="0.4">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5" x14ac:dyDescent="0.4">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5" x14ac:dyDescent="0.4">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5" x14ac:dyDescent="0.4">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5" x14ac:dyDescent="0.4">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5" x14ac:dyDescent="0.4">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5" x14ac:dyDescent="0.4">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5" x14ac:dyDescent="0.4">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5" x14ac:dyDescent="0.4">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5" x14ac:dyDescent="0.4">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5" x14ac:dyDescent="0.4">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5" x14ac:dyDescent="0.4">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5" x14ac:dyDescent="0.4">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5" x14ac:dyDescent="0.4">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5" x14ac:dyDescent="0.4">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5" x14ac:dyDescent="0.4">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5" x14ac:dyDescent="0.4">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5" x14ac:dyDescent="0.4">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5" x14ac:dyDescent="0.4">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5" x14ac:dyDescent="0.4">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5" x14ac:dyDescent="0.4">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5" x14ac:dyDescent="0.4">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5" x14ac:dyDescent="0.4">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5" x14ac:dyDescent="0.4">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5" x14ac:dyDescent="0.4">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5" x14ac:dyDescent="0.4">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5" x14ac:dyDescent="0.4">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5" x14ac:dyDescent="0.4">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5" x14ac:dyDescent="0.4">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5" x14ac:dyDescent="0.4">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5" x14ac:dyDescent="0.4">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5" x14ac:dyDescent="0.4">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5" x14ac:dyDescent="0.4">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5" x14ac:dyDescent="0.4">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5" x14ac:dyDescent="0.4">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5" x14ac:dyDescent="0.4">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5" x14ac:dyDescent="0.4">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5" x14ac:dyDescent="0.4">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5" x14ac:dyDescent="0.4">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5" x14ac:dyDescent="0.4">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5" x14ac:dyDescent="0.4">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5" x14ac:dyDescent="0.4">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5" x14ac:dyDescent="0.4">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5" x14ac:dyDescent="0.4">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5" x14ac:dyDescent="0.4">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5" x14ac:dyDescent="0.4">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5" x14ac:dyDescent="0.4">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5" x14ac:dyDescent="0.4">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5" x14ac:dyDescent="0.4">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5" x14ac:dyDescent="0.4">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5" x14ac:dyDescent="0.4">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5" x14ac:dyDescent="0.4">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5" x14ac:dyDescent="0.4">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5" x14ac:dyDescent="0.4">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5" x14ac:dyDescent="0.4">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5" x14ac:dyDescent="0.4">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5" x14ac:dyDescent="0.4">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5" x14ac:dyDescent="0.4">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5" x14ac:dyDescent="0.4">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5" x14ac:dyDescent="0.4">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5" x14ac:dyDescent="0.4">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5" x14ac:dyDescent="0.4">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5" x14ac:dyDescent="0.4">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5" x14ac:dyDescent="0.4">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5" x14ac:dyDescent="0.4">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5" x14ac:dyDescent="0.4">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5" x14ac:dyDescent="0.4">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5" x14ac:dyDescent="0.4">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5" x14ac:dyDescent="0.4">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5" x14ac:dyDescent="0.4">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5" x14ac:dyDescent="0.4">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5" x14ac:dyDescent="0.4">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5" x14ac:dyDescent="0.4">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5" x14ac:dyDescent="0.4">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5" x14ac:dyDescent="0.4">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5" x14ac:dyDescent="0.4">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5" x14ac:dyDescent="0.4">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5" x14ac:dyDescent="0.4">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5" x14ac:dyDescent="0.4">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5" x14ac:dyDescent="0.4">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5" x14ac:dyDescent="0.4">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5" x14ac:dyDescent="0.4">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5" x14ac:dyDescent="0.4">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5" x14ac:dyDescent="0.4">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5" x14ac:dyDescent="0.4">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5" x14ac:dyDescent="0.4">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5" x14ac:dyDescent="0.4">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5" x14ac:dyDescent="0.4">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5" x14ac:dyDescent="0.4">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5" x14ac:dyDescent="0.4">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5" x14ac:dyDescent="0.4">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5" x14ac:dyDescent="0.4">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5" x14ac:dyDescent="0.4">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5" x14ac:dyDescent="0.4">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5" x14ac:dyDescent="0.4">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5" x14ac:dyDescent="0.4">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5" x14ac:dyDescent="0.4">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5" x14ac:dyDescent="0.4">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5" x14ac:dyDescent="0.4">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5" x14ac:dyDescent="0.4">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5" x14ac:dyDescent="0.4">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5" x14ac:dyDescent="0.4">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5" x14ac:dyDescent="0.4">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5" x14ac:dyDescent="0.4">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5" x14ac:dyDescent="0.4">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5" x14ac:dyDescent="0.4">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5" x14ac:dyDescent="0.4">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5" x14ac:dyDescent="0.4">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5" x14ac:dyDescent="0.4">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5" x14ac:dyDescent="0.4">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5" x14ac:dyDescent="0.4">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5" x14ac:dyDescent="0.4">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5" x14ac:dyDescent="0.4">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5" x14ac:dyDescent="0.4">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5" x14ac:dyDescent="0.4">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5" x14ac:dyDescent="0.4">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5" x14ac:dyDescent="0.4">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5" x14ac:dyDescent="0.4">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5" x14ac:dyDescent="0.4">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5" x14ac:dyDescent="0.4">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5" x14ac:dyDescent="0.4">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5" x14ac:dyDescent="0.4">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5" x14ac:dyDescent="0.4">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5" x14ac:dyDescent="0.4">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5" x14ac:dyDescent="0.4">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5" x14ac:dyDescent="0.4">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5" x14ac:dyDescent="0.4">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5" x14ac:dyDescent="0.4">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5" x14ac:dyDescent="0.4">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5" x14ac:dyDescent="0.4">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5" x14ac:dyDescent="0.4">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5" x14ac:dyDescent="0.4">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5" x14ac:dyDescent="0.4">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5" x14ac:dyDescent="0.4">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5" x14ac:dyDescent="0.4">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5" x14ac:dyDescent="0.4">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5" x14ac:dyDescent="0.4">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5" x14ac:dyDescent="0.4">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5" x14ac:dyDescent="0.4">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5" x14ac:dyDescent="0.4">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5" x14ac:dyDescent="0.4">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5" x14ac:dyDescent="0.4">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5" x14ac:dyDescent="0.4">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5" x14ac:dyDescent="0.4">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5" x14ac:dyDescent="0.4">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5" x14ac:dyDescent="0.4">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5" x14ac:dyDescent="0.4">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5" x14ac:dyDescent="0.4">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5" x14ac:dyDescent="0.4">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5" x14ac:dyDescent="0.4">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5" x14ac:dyDescent="0.4">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5" x14ac:dyDescent="0.4">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5" x14ac:dyDescent="0.4">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5" x14ac:dyDescent="0.4">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5" x14ac:dyDescent="0.4">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5" x14ac:dyDescent="0.4">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5" x14ac:dyDescent="0.4">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5" x14ac:dyDescent="0.4">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5" x14ac:dyDescent="0.4">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5" x14ac:dyDescent="0.4">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5" x14ac:dyDescent="0.4">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5" x14ac:dyDescent="0.4">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5" x14ac:dyDescent="0.4">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5" x14ac:dyDescent="0.4">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5" x14ac:dyDescent="0.4">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5" x14ac:dyDescent="0.4">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5" x14ac:dyDescent="0.4">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5" x14ac:dyDescent="0.4">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5" x14ac:dyDescent="0.4">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5" x14ac:dyDescent="0.4">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5" x14ac:dyDescent="0.4">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5" x14ac:dyDescent="0.4">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5" x14ac:dyDescent="0.4">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5" x14ac:dyDescent="0.4">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5" x14ac:dyDescent="0.4">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5" x14ac:dyDescent="0.4">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5" x14ac:dyDescent="0.4">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5" x14ac:dyDescent="0.4">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5" x14ac:dyDescent="0.4">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5" x14ac:dyDescent="0.4">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5" x14ac:dyDescent="0.4">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5" x14ac:dyDescent="0.4">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5" x14ac:dyDescent="0.4">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5" x14ac:dyDescent="0.4">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5" x14ac:dyDescent="0.4">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5" x14ac:dyDescent="0.4">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5" x14ac:dyDescent="0.4">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5" x14ac:dyDescent="0.4">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5" x14ac:dyDescent="0.4">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5" x14ac:dyDescent="0.4">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5" x14ac:dyDescent="0.4">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5" x14ac:dyDescent="0.4">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5" x14ac:dyDescent="0.4">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5" x14ac:dyDescent="0.4">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5" x14ac:dyDescent="0.4">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5" x14ac:dyDescent="0.4">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5" x14ac:dyDescent="0.4">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5" x14ac:dyDescent="0.4">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5" x14ac:dyDescent="0.4">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5" x14ac:dyDescent="0.4">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5" x14ac:dyDescent="0.4">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5" x14ac:dyDescent="0.4">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5" x14ac:dyDescent="0.4">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5" x14ac:dyDescent="0.4">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5" x14ac:dyDescent="0.4">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5" x14ac:dyDescent="0.4">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5" x14ac:dyDescent="0.4">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5" x14ac:dyDescent="0.4">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5" x14ac:dyDescent="0.4">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5" x14ac:dyDescent="0.4">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5" x14ac:dyDescent="0.4">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5" x14ac:dyDescent="0.4">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5" x14ac:dyDescent="0.4">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5" x14ac:dyDescent="0.4">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5" x14ac:dyDescent="0.4">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5" x14ac:dyDescent="0.4">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5" x14ac:dyDescent="0.4">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5" x14ac:dyDescent="0.4">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5" x14ac:dyDescent="0.4">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5" x14ac:dyDescent="0.4">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5" x14ac:dyDescent="0.4">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5" x14ac:dyDescent="0.4">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5" x14ac:dyDescent="0.4">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5" x14ac:dyDescent="0.4">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5" x14ac:dyDescent="0.4">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5" x14ac:dyDescent="0.4">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5" x14ac:dyDescent="0.4">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5" x14ac:dyDescent="0.4">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5" x14ac:dyDescent="0.4">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5" x14ac:dyDescent="0.4">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5" x14ac:dyDescent="0.4">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5" x14ac:dyDescent="0.4">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5" x14ac:dyDescent="0.4">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5" x14ac:dyDescent="0.4">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5" x14ac:dyDescent="0.4">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5" x14ac:dyDescent="0.4">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5" x14ac:dyDescent="0.4">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5" x14ac:dyDescent="0.4">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5" x14ac:dyDescent="0.4">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5" x14ac:dyDescent="0.4">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5" x14ac:dyDescent="0.4">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5" x14ac:dyDescent="0.4">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5" x14ac:dyDescent="0.4">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5" x14ac:dyDescent="0.4">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5" x14ac:dyDescent="0.4">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5" x14ac:dyDescent="0.4">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5" x14ac:dyDescent="0.4">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5" x14ac:dyDescent="0.4">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5" x14ac:dyDescent="0.4">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5" x14ac:dyDescent="0.4">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5" x14ac:dyDescent="0.4">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5" x14ac:dyDescent="0.4">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5" x14ac:dyDescent="0.4">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5" x14ac:dyDescent="0.4">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5" x14ac:dyDescent="0.4">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5" x14ac:dyDescent="0.4">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5" x14ac:dyDescent="0.4">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5" x14ac:dyDescent="0.4">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5" x14ac:dyDescent="0.4">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5" x14ac:dyDescent="0.4">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5" x14ac:dyDescent="0.4">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5" x14ac:dyDescent="0.4">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5" x14ac:dyDescent="0.4">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5" x14ac:dyDescent="0.4">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5" x14ac:dyDescent="0.4">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5" x14ac:dyDescent="0.4">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5" x14ac:dyDescent="0.4">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5" x14ac:dyDescent="0.4">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5" x14ac:dyDescent="0.4">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5" x14ac:dyDescent="0.4">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5" x14ac:dyDescent="0.4">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5" x14ac:dyDescent="0.4">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5" x14ac:dyDescent="0.4">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5" x14ac:dyDescent="0.4">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5" x14ac:dyDescent="0.4">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5" x14ac:dyDescent="0.4">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5" x14ac:dyDescent="0.4">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5" x14ac:dyDescent="0.4">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5" x14ac:dyDescent="0.4">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5" x14ac:dyDescent="0.4">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5" x14ac:dyDescent="0.4">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5" x14ac:dyDescent="0.4">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5" x14ac:dyDescent="0.4">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5" x14ac:dyDescent="0.4">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5" x14ac:dyDescent="0.4">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5" x14ac:dyDescent="0.4">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5" x14ac:dyDescent="0.4">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5" x14ac:dyDescent="0.4">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5" x14ac:dyDescent="0.4">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5" x14ac:dyDescent="0.4">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5" x14ac:dyDescent="0.4">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5" x14ac:dyDescent="0.4">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5" x14ac:dyDescent="0.4">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5" x14ac:dyDescent="0.4">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5" x14ac:dyDescent="0.4">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5" x14ac:dyDescent="0.4">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5" x14ac:dyDescent="0.4">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5" x14ac:dyDescent="0.4">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5" x14ac:dyDescent="0.4">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5" x14ac:dyDescent="0.4">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5" x14ac:dyDescent="0.4">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5" x14ac:dyDescent="0.4">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5" x14ac:dyDescent="0.4">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5" x14ac:dyDescent="0.4">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5" x14ac:dyDescent="0.4">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5" x14ac:dyDescent="0.4">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5" x14ac:dyDescent="0.4">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5" x14ac:dyDescent="0.4">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5" x14ac:dyDescent="0.4">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5" x14ac:dyDescent="0.4">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5" x14ac:dyDescent="0.4">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5" x14ac:dyDescent="0.4">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5" x14ac:dyDescent="0.4">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5" x14ac:dyDescent="0.4">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5" x14ac:dyDescent="0.4">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5" x14ac:dyDescent="0.4">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5" x14ac:dyDescent="0.4">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5" x14ac:dyDescent="0.4">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5" x14ac:dyDescent="0.4">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5" x14ac:dyDescent="0.4">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5" x14ac:dyDescent="0.4">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5" x14ac:dyDescent="0.4">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5" x14ac:dyDescent="0.4">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5" x14ac:dyDescent="0.4">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5" x14ac:dyDescent="0.4">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5" x14ac:dyDescent="0.4">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5" x14ac:dyDescent="0.4">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5" x14ac:dyDescent="0.4">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5" x14ac:dyDescent="0.4">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5" x14ac:dyDescent="0.4">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5" x14ac:dyDescent="0.4">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5" x14ac:dyDescent="0.4">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5" x14ac:dyDescent="0.4">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5" x14ac:dyDescent="0.4">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5" x14ac:dyDescent="0.4">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5" x14ac:dyDescent="0.4">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5" x14ac:dyDescent="0.4">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5" x14ac:dyDescent="0.4">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5" x14ac:dyDescent="0.4">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5" x14ac:dyDescent="0.4">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5" x14ac:dyDescent="0.4">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5" x14ac:dyDescent="0.4">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5" x14ac:dyDescent="0.4">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5" x14ac:dyDescent="0.4">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5" x14ac:dyDescent="0.4">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5" x14ac:dyDescent="0.4">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5" x14ac:dyDescent="0.4">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5" x14ac:dyDescent="0.4">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5" x14ac:dyDescent="0.4">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5" x14ac:dyDescent="0.4">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5" x14ac:dyDescent="0.4">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5" x14ac:dyDescent="0.4">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5" x14ac:dyDescent="0.4">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5" x14ac:dyDescent="0.4">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5" x14ac:dyDescent="0.4">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5" x14ac:dyDescent="0.4">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5" x14ac:dyDescent="0.4">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5" x14ac:dyDescent="0.4">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5" x14ac:dyDescent="0.4">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5" x14ac:dyDescent="0.4">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5" x14ac:dyDescent="0.4">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5" x14ac:dyDescent="0.4">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5" x14ac:dyDescent="0.4">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5" x14ac:dyDescent="0.4">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5" x14ac:dyDescent="0.4">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5" x14ac:dyDescent="0.4">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5" x14ac:dyDescent="0.4">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5" x14ac:dyDescent="0.4">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5" x14ac:dyDescent="0.4">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5" x14ac:dyDescent="0.4">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5" x14ac:dyDescent="0.4">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5" x14ac:dyDescent="0.4">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5" x14ac:dyDescent="0.4">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5" x14ac:dyDescent="0.4">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5" x14ac:dyDescent="0.4">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5" x14ac:dyDescent="0.4">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5" x14ac:dyDescent="0.4">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5" x14ac:dyDescent="0.4">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5" x14ac:dyDescent="0.4">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5" x14ac:dyDescent="0.4">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5" x14ac:dyDescent="0.4">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5" x14ac:dyDescent="0.4">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5" x14ac:dyDescent="0.4">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5" x14ac:dyDescent="0.4">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5" x14ac:dyDescent="0.4">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5" x14ac:dyDescent="0.4">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5" x14ac:dyDescent="0.4">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5" x14ac:dyDescent="0.4">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5" x14ac:dyDescent="0.4">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5" x14ac:dyDescent="0.4">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5" x14ac:dyDescent="0.4">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5" x14ac:dyDescent="0.4">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5" x14ac:dyDescent="0.4">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5" x14ac:dyDescent="0.4">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5" x14ac:dyDescent="0.4">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5" x14ac:dyDescent="0.4">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5" x14ac:dyDescent="0.4">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5" x14ac:dyDescent="0.4">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5" x14ac:dyDescent="0.4">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5" x14ac:dyDescent="0.4">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5" x14ac:dyDescent="0.4">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5" x14ac:dyDescent="0.4">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5" x14ac:dyDescent="0.4">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5" x14ac:dyDescent="0.4">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5" x14ac:dyDescent="0.4">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5" x14ac:dyDescent="0.4">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5" x14ac:dyDescent="0.4">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5" x14ac:dyDescent="0.4">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5" x14ac:dyDescent="0.4">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5" x14ac:dyDescent="0.4">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5" x14ac:dyDescent="0.4">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5" x14ac:dyDescent="0.4">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5" x14ac:dyDescent="0.4">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5" x14ac:dyDescent="0.4">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5" x14ac:dyDescent="0.4">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5" x14ac:dyDescent="0.4">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5" x14ac:dyDescent="0.4">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5" x14ac:dyDescent="0.4">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5" x14ac:dyDescent="0.4">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5" x14ac:dyDescent="0.4">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5" x14ac:dyDescent="0.4">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5" x14ac:dyDescent="0.4">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5" x14ac:dyDescent="0.4">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5" x14ac:dyDescent="0.4">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5" x14ac:dyDescent="0.4">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5" x14ac:dyDescent="0.4">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5" x14ac:dyDescent="0.4">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5" x14ac:dyDescent="0.4">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5" x14ac:dyDescent="0.4">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5" x14ac:dyDescent="0.4">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5" x14ac:dyDescent="0.4">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5" x14ac:dyDescent="0.4">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5" x14ac:dyDescent="0.4">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5" x14ac:dyDescent="0.4">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5" x14ac:dyDescent="0.4">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5" x14ac:dyDescent="0.4">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5" x14ac:dyDescent="0.4">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5" x14ac:dyDescent="0.4">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5" x14ac:dyDescent="0.4">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5" x14ac:dyDescent="0.4">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5" x14ac:dyDescent="0.4">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5" x14ac:dyDescent="0.4">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5" x14ac:dyDescent="0.4">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5" x14ac:dyDescent="0.4">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5" x14ac:dyDescent="0.4">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5" x14ac:dyDescent="0.4">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5" x14ac:dyDescent="0.4">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5" x14ac:dyDescent="0.4">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5" x14ac:dyDescent="0.4">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5" x14ac:dyDescent="0.4">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5" x14ac:dyDescent="0.4">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5" x14ac:dyDescent="0.4">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5" x14ac:dyDescent="0.4">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5" x14ac:dyDescent="0.4">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5" x14ac:dyDescent="0.4">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5" x14ac:dyDescent="0.4">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5" x14ac:dyDescent="0.4">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5" x14ac:dyDescent="0.4">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5" x14ac:dyDescent="0.4">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5" x14ac:dyDescent="0.4">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5" x14ac:dyDescent="0.4">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5" x14ac:dyDescent="0.4">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5" x14ac:dyDescent="0.4">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5" x14ac:dyDescent="0.4">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5" x14ac:dyDescent="0.4">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5" x14ac:dyDescent="0.4">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5" x14ac:dyDescent="0.4">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5" x14ac:dyDescent="0.4">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5" x14ac:dyDescent="0.4">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5" x14ac:dyDescent="0.4">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5" x14ac:dyDescent="0.4">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5" x14ac:dyDescent="0.4">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5" x14ac:dyDescent="0.4">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5" x14ac:dyDescent="0.4">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5" x14ac:dyDescent="0.4">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5" x14ac:dyDescent="0.4">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5" x14ac:dyDescent="0.4">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5" x14ac:dyDescent="0.4">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5" x14ac:dyDescent="0.4">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5" x14ac:dyDescent="0.4">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5" x14ac:dyDescent="0.4">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5" x14ac:dyDescent="0.4">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5" x14ac:dyDescent="0.4">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5" x14ac:dyDescent="0.4">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5" x14ac:dyDescent="0.4">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5" x14ac:dyDescent="0.4">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5" x14ac:dyDescent="0.4">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5" x14ac:dyDescent="0.4">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5" x14ac:dyDescent="0.4">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5" x14ac:dyDescent="0.4">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5" x14ac:dyDescent="0.4">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5" x14ac:dyDescent="0.4">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5" x14ac:dyDescent="0.4">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5" x14ac:dyDescent="0.4">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5" x14ac:dyDescent="0.4">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5" x14ac:dyDescent="0.4">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5" x14ac:dyDescent="0.4">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5" x14ac:dyDescent="0.4">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5" x14ac:dyDescent="0.4">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5" x14ac:dyDescent="0.4">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5" x14ac:dyDescent="0.4">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5" x14ac:dyDescent="0.4">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5" x14ac:dyDescent="0.4">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5" x14ac:dyDescent="0.4">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5" x14ac:dyDescent="0.4"/>
  <cols>
    <col min="5" max="5" width="10.921875" customWidth="1"/>
    <col min="6" max="6" width="9.921875" customWidth="1"/>
  </cols>
  <sheetData>
    <row r="2" spans="5:6" x14ac:dyDescent="0.4">
      <c r="E2" t="s">
        <v>1040</v>
      </c>
      <c r="F2" t="s">
        <v>1041</v>
      </c>
    </row>
    <row r="3" spans="5:6" ht="25.5" customHeight="1" x14ac:dyDescent="0.4">
      <c r="E3" t="s">
        <v>11</v>
      </c>
      <c r="F3" t="e" vm="1">
        <v>#VALUE!</v>
      </c>
    </row>
    <row r="4" spans="5:6" ht="25.5" customHeight="1" x14ac:dyDescent="0.4">
      <c r="E4" t="s">
        <v>9</v>
      </c>
      <c r="F4" t="e" vm="2">
        <v>#VALUE!</v>
      </c>
    </row>
    <row r="5" spans="5:6" ht="25.5" customHeight="1" x14ac:dyDescent="0.4">
      <c r="E5" t="s">
        <v>6</v>
      </c>
      <c r="F5" t="e" vm="3">
        <v>#VALUE!</v>
      </c>
    </row>
    <row r="6" spans="5:6" ht="25.5" customHeight="1" x14ac:dyDescent="0.4">
      <c r="E6" t="s">
        <v>13</v>
      </c>
      <c r="F6" t="e" vm="4">
        <v>#VALUE!</v>
      </c>
    </row>
    <row r="7" spans="5:6" ht="25.5" customHeight="1" x14ac:dyDescent="0.4">
      <c r="E7" t="s">
        <v>10</v>
      </c>
      <c r="F7" t="e" vm="5">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0AC4DF-4051-42BF-8997-6D51FF8D62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Center Report</vt:lpstr>
      <vt:lpstr>Sheet3</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Dadem, Nikhil Sagar</cp:lastModifiedBy>
  <dcterms:created xsi:type="dcterms:W3CDTF">2021-03-14T20:21:32Z</dcterms:created>
  <dcterms:modified xsi:type="dcterms:W3CDTF">2026-03-28T05:40:48Z</dcterms:modified>
</cp:coreProperties>
</file>